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Master Dashboard" sheetId="1" state="visible" r:id="rId3"/>
    <sheet name="🧬 DNA Loop Engine" sheetId="2" state="visible" r:id="rId4"/>
    <sheet name="📐 Phase 1 — Biology &amp; Embodime" sheetId="3" state="visible" r:id="rId5"/>
    <sheet name="🦿 Phase 2 — Sensorimotor" sheetId="4" state="visible" r:id="rId6"/>
    <sheet name="🧠 Phase 3 — Core Cognition" sheetId="5" state="visible" r:id="rId7"/>
    <sheet name="🤝 Phase 4 — Social Cognition" sheetId="6" state="visible" r:id="rId8"/>
    <sheet name="🌍 Phase 5 — Cultural &amp; World" sheetId="7" state="visible" r:id="rId9"/>
    <sheet name="🪪 Phase 6 — Identity" sheetId="8" state="visible" r:id="rId10"/>
    <sheet name="✨ Phase 7 — Wisdom" sheetId="9" state="visible" r:id="rId11"/>
    <sheet name="🚀 Phase 8 — AGI Architecture" sheetId="10" state="visible" r:id="rId12"/>
    <sheet name="🔄 Learning Loop" sheetId="11" state="visible" r:id="rId13"/>
    <sheet name="⚙️ System Reference" sheetId="12" state="visible" r:id="rId14"/>
    <sheet name="👩 Lorraine — Parent Profile" sheetId="13" state="visible" r:id="rId15"/>
    <sheet name="👨 China — Parent Profile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<sst xmlns="http://schemas.openxmlformats.org/spreadsheetml/2006/main" count="2143" uniqueCount="1463">
  <si>
    <t xml:space="preserve">🧬 A7DO GENESIS MIND — Master Dashboard v6</t>
  </si>
  <si>
    <t xml:space="preserve">Clean 14-sheet rebuild · All phases 1–8 · Lorraine &amp; China profiles · Default Tick = 0</t>
  </si>
  <si>
    <t xml:space="preserve">⚡ SINGLE INPUT: Edit 🧬 DNA Loop Engine B4 (Current Tick) to advance the entire organism</t>
  </si>
  <si>
    <t xml:space="preserve">⚡ LIVE ORGANISM STATE — All values update from DNA Loop Engine B4</t>
  </si>
  <si>
    <t xml:space="preserve">Parameter</t>
  </si>
  <si>
    <t xml:space="preserve">Value</t>
  </si>
  <si>
    <t xml:space="preserve">Unit</t>
  </si>
  <si>
    <t xml:space="preserve">Notes</t>
  </si>
  <si>
    <t xml:space="preserve">Current Tick:</t>
  </si>
  <si>
    <t xml:space="preserve">ticks</t>
  </si>
  <si>
    <t xml:space="preserve">← Edit DNA Loop Engine B4</t>
  </si>
  <si>
    <t xml:space="preserve">Current Week:</t>
  </si>
  <si>
    <t xml:space="preserve">weeks</t>
  </si>
  <si>
    <t xml:space="preserve">Tick ÷ 80</t>
  </si>
  <si>
    <t xml:space="preserve">Life Stage:</t>
  </si>
  <si>
    <t xml:space="preserve">From life stage map</t>
  </si>
  <si>
    <t xml:space="preserve">Age:</t>
  </si>
  <si>
    <t xml:space="preserve">Post-birth age</t>
  </si>
  <si>
    <t xml:space="preserve">Birth Status:</t>
  </si>
  <si>
    <t xml:space="preserve">🎉 BIRTH COMPLETE at Tick 3,200</t>
  </si>
  <si>
    <t xml:space="preserve">Cord Status:</t>
  </si>
  <si>
    <t xml:space="preserve">Severs at birth</t>
  </si>
  <si>
    <t xml:space="preserve">Height H(t):</t>
  </si>
  <si>
    <t xml:space="preserve">cm</t>
  </si>
  <si>
    <t xml:space="preserve">0→177 cm</t>
  </si>
  <si>
    <t xml:space="preserve">Mass M(t):</t>
  </si>
  <si>
    <t xml:space="preserve">kg</t>
  </si>
  <si>
    <t xml:space="preserve">0→70 kg</t>
  </si>
  <si>
    <t xml:space="preserve">Heart Rate:</t>
  </si>
  <si>
    <t xml:space="preserve">bpm</t>
  </si>
  <si>
    <t xml:space="preserve">120→70 bpm</t>
  </si>
  <si>
    <t xml:space="preserve">Vocabulary:</t>
  </si>
  <si>
    <t xml:space="preserve">words</t>
  </si>
  <si>
    <t xml:space="preserve">Logistic V(t)</t>
  </si>
  <si>
    <t xml:space="preserve">Motor Stage:</t>
  </si>
  <si>
    <t xml:space="preserve">1–5</t>
  </si>
  <si>
    <t xml:space="preserve">Motor capability</t>
  </si>
  <si>
    <t xml:space="preserve">ToM Stage:</t>
  </si>
  <si>
    <t xml:space="preserve">Theory of Mind</t>
  </si>
  <si>
    <t xml:space="preserve">Object Permanence:</t>
  </si>
  <si>
    <t xml:space="preserve">0–3</t>
  </si>
  <si>
    <t xml:space="preserve">Stage</t>
  </si>
  <si>
    <t xml:space="preserve">Consciousness C:</t>
  </si>
  <si>
    <t xml:space="preserve">0–1</t>
  </si>
  <si>
    <t xml:space="preserve">EQ_CONS_10</t>
  </si>
  <si>
    <t xml:space="preserve">LTM Events:</t>
  </si>
  <si>
    <t xml:space="preserve">events</t>
  </si>
  <si>
    <t xml:space="preserve">Episodic memory</t>
  </si>
  <si>
    <t xml:space="preserve">Growth Factor:</t>
  </si>
  <si>
    <t xml:space="preserve">Physical growth rate</t>
  </si>
  <si>
    <t xml:space="preserve">Neural Gain:</t>
  </si>
  <si>
    <t xml:space="preserve">Neural development</t>
  </si>
  <si>
    <t xml:space="preserve">Reflex Gain:</t>
  </si>
  <si>
    <t xml:space="preserve">Reflex arc maturity</t>
  </si>
  <si>
    <t xml:space="preserve">Learning Loop:</t>
  </si>
  <si>
    <t xml:space="preserve">4-stage cycle</t>
  </si>
  <si>
    <t xml:space="preserve">Phase 7 Active:</t>
  </si>
  <si>
    <t xml:space="preserve">Wisdom activation</t>
  </si>
  <si>
    <t xml:space="preserve">Wisdom W(t):</t>
  </si>
  <si>
    <t xml:space="preserve">EQ_WISDOM_18</t>
  </si>
  <si>
    <t xml:space="preserve">📈 DEVELOPMENTAL PHASE TIMELINE</t>
  </si>
  <si>
    <t xml:space="preserve">Phase</t>
  </si>
  <si>
    <t xml:space="preserve">Domain</t>
  </si>
  <si>
    <t xml:space="preserve">Tick Range</t>
  </si>
  <si>
    <t xml:space="preserve">Week Range</t>
  </si>
  <si>
    <t xml:space="preserve">Key Capability</t>
  </si>
  <si>
    <t xml:space="preserve">Live Status</t>
  </si>
  <si>
    <t xml:space="preserve">Phase 1</t>
  </si>
  <si>
    <t xml:space="preserve">Biology &amp; Embodiment</t>
  </si>
  <si>
    <t xml:space="preserve">0–3,200</t>
  </si>
  <si>
    <t xml:space="preserve">0–40</t>
  </si>
  <si>
    <t xml:space="preserve">Organ formation · circulatory · reflex arcs</t>
  </si>
  <si>
    <t xml:space="preserve">Phase 2</t>
  </si>
  <si>
    <t xml:space="preserve">Sensorimotor</t>
  </si>
  <si>
    <t xml:space="preserve">3,200–6,400</t>
  </si>
  <si>
    <t xml:space="preserve">40–80</t>
  </si>
  <si>
    <t xml:space="preserve">Sensory integration · proprioception · motor control</t>
  </si>
  <si>
    <t xml:space="preserve">Phase 3</t>
  </si>
  <si>
    <t xml:space="preserve">Core Cognition</t>
  </si>
  <si>
    <t xml:space="preserve">6,400–12,480</t>
  </si>
  <si>
    <t xml:space="preserve">80–156</t>
  </si>
  <si>
    <t xml:space="preserve">Object permanence · episodic memory · value system</t>
  </si>
  <si>
    <t xml:space="preserve">Phase 4</t>
  </si>
  <si>
    <t xml:space="preserve">Social Cognition</t>
  </si>
  <si>
    <t xml:space="preserve">12,480–49,920</t>
  </si>
  <si>
    <t xml:space="preserve">156–624</t>
  </si>
  <si>
    <t xml:space="preserve">Theory of Mind · language grounding · scene graph</t>
  </si>
  <si>
    <t xml:space="preserve">Phase 5</t>
  </si>
  <si>
    <t xml:space="preserve">Cultural &amp; World</t>
  </si>
  <si>
    <t xml:space="preserve">49,920–74,880</t>
  </si>
  <si>
    <t xml:space="preserve">624–936</t>
  </si>
  <si>
    <t xml:space="preserve">World systems · NPC social structure · cultural norms</t>
  </si>
  <si>
    <t xml:space="preserve">Phase 6</t>
  </si>
  <si>
    <t xml:space="preserve">Identity</t>
  </si>
  <si>
    <t xml:space="preserve">74,880–96,000</t>
  </si>
  <si>
    <t xml:space="preserve">936–1,200</t>
  </si>
  <si>
    <t xml:space="preserve">Self-model · identity schema · skill graph · narrative</t>
  </si>
  <si>
    <t xml:space="preserve">Phase 7</t>
  </si>
  <si>
    <t xml:space="preserve">Wisdom</t>
  </si>
  <si>
    <t xml:space="preserve">96,000+</t>
  </si>
  <si>
    <t xml:space="preserve">1,200+</t>
  </si>
  <si>
    <t xml:space="preserve">Creativity · wisdom · career · legacy projection</t>
  </si>
  <si>
    <t xml:space="preserve">Phase 8</t>
  </si>
  <si>
    <t xml:space="preserve">AGI Architecture</t>
  </si>
  <si>
    <t xml:space="preserve">Specified</t>
  </si>
  <si>
    <t xml:space="preserve">All stages</t>
  </si>
  <si>
    <t xml:space="preserve">Vision · motor · planning · world model</t>
  </si>
  <si>
    <t xml:space="preserve">🗂️ COMPLETE SHEET INDEX — 14 Sheets</t>
  </si>
  <si>
    <t xml:space="preserve">#</t>
  </si>
  <si>
    <t xml:space="preserve">Sheet</t>
  </si>
  <si>
    <t xml:space="preserve">Category</t>
  </si>
  <si>
    <t xml:space="preserve">Key Content</t>
  </si>
  <si>
    <t xml:space="preserve">🏠 Master Dashboard</t>
  </si>
  <si>
    <t xml:space="preserve">Core</t>
  </si>
  <si>
    <t xml:space="preserve">Live organism state · phase timeline · sheet index</t>
  </si>
  <si>
    <t xml:space="preserve">🧬 DNA Loop Engine</t>
  </si>
  <si>
    <t xml:space="preserve">Master tick controller · lifecycle table · all derived formulas</t>
  </si>
  <si>
    <t xml:space="preserve">📐 Phase 1 — Biology &amp; Embodiment</t>
  </si>
  <si>
    <t xml:space="preserve">Prenatal phases · birth transition · body systems · growth by stage</t>
  </si>
  <si>
    <t xml:space="preserve">🦿 Phase 2 — Sensorimotor</t>
  </si>
  <si>
    <t xml:space="preserve">Motor stages · rigid-body dynamics · reflexes · FOV coupling</t>
  </si>
  <si>
    <t xml:space="preserve">🧠 Phase 3 — Core Cognition</t>
  </si>
  <si>
    <t xml:space="preserve">Object permanence · episodic memory · value system · predictive sim</t>
  </si>
  <si>
    <t xml:space="preserve">🤝 Phase 4 — Social Cognition</t>
  </si>
  <si>
    <t xml:space="preserve">Language grounding · Theory of Mind · seed vocabulary</t>
  </si>
  <si>
    <t xml:space="preserve">🌍 Phase 5 — Cultural &amp; World</t>
  </si>
  <si>
    <t xml:space="preserve">Cultural stages · NPC network · BeenFore City places</t>
  </si>
  <si>
    <t xml:space="preserve">🪪 Phase 6 — Identity</t>
  </si>
  <si>
    <t xml:space="preserve">Identity stages · equations · 22-dim skill graph</t>
  </si>
  <si>
    <t xml:space="preserve">✨ Phase 7 — Wisdom</t>
  </si>
  <si>
    <t xml:space="preserve">EQ_CREAT_17 · EQ_WISDOM_18 · EQ_CAREER_19 · EQ_LEGACY_20</t>
  </si>
  <si>
    <t xml:space="preserve">🚀 Phase 8 — AGI Architecture</t>
  </si>
  <si>
    <t xml:space="preserve">AGI readiness · Vision V1 · Motor M1 · Planning P2 · World W2</t>
  </si>
  <si>
    <t xml:space="preserve">🔄 Learning Loop</t>
  </si>
  <si>
    <t xml:space="preserve">Learning</t>
  </si>
  <si>
    <t xml:space="preserve">4-stage cycle · word pipeline · web-hook learning</t>
  </si>
  <si>
    <t xml:space="preserve">⚙️ System Reference</t>
  </si>
  <si>
    <t xml:space="preserve">Meta</t>
  </si>
  <si>
    <t xml:space="preserve">52 parameters · 24 engine registry · tick frequency schedule</t>
  </si>
  <si>
    <t xml:space="preserve">👩 Lorraine — Parent Profile</t>
  </si>
  <si>
    <t xml:space="preserve">Profile</t>
  </si>
  <si>
    <t xml:space="preserve">Full biological · psychological · social · genetic profile</t>
  </si>
  <si>
    <t xml:space="preserve">👨 China — Parent Profile</t>
  </si>
  <si>
    <t xml:space="preserve">🧬 A7DO DNA LOOP ENGINE — Master Tick Controller</t>
  </si>
  <si>
    <t xml:space="preserve">⚡ SINGLE INPUT: Change B4 (Current Tick) to advance the entire organism. All 14 sheets update automatically.</t>
  </si>
  <si>
    <t xml:space="preserve">Tick 0 = Fertilisation · Tick 3,200 = Birth (Week 40) · Tick 96,000 = Adulthood (Week 1,200)</t>
  </si>
  <si>
    <t xml:space="preserve">⚡ MASTER TICK CONTROL — Edit B4 only</t>
  </si>
  <si>
    <t xml:space="preserve">← EDIT THIS — 0 to 160,000</t>
  </si>
  <si>
    <t xml:space="preserve">DNA Phase:</t>
  </si>
  <si>
    <t xml:space="preserve">Developmental phase code</t>
  </si>
  <si>
    <t xml:space="preserve">Tick ≥ 3,200 = born</t>
  </si>
  <si>
    <t xml:space="preserve">120→70 bpm over life</t>
  </si>
  <si>
    <t xml:space="preserve">Obj Permanence:</t>
  </si>
  <si>
    <t xml:space="preserve">Object permanence stage</t>
  </si>
  <si>
    <t xml:space="preserve">📐 LIFE STAGE MAP</t>
  </si>
  <si>
    <t xml:space="preserve">Week Threshold</t>
  </si>
  <si>
    <t xml:space="preserve">Life Stage</t>
  </si>
  <si>
    <t xml:space="preserve">Embryo</t>
  </si>
  <si>
    <t xml:space="preserve">Fetal Early</t>
  </si>
  <si>
    <t xml:space="preserve">Fetal Mid</t>
  </si>
  <si>
    <t xml:space="preserve">Fetal Late</t>
  </si>
  <si>
    <t xml:space="preserve">Newborn</t>
  </si>
  <si>
    <t xml:space="preserve">Infant</t>
  </si>
  <si>
    <t xml:space="preserve">Toddler</t>
  </si>
  <si>
    <t xml:space="preserve">Child</t>
  </si>
  <si>
    <t xml:space="preserve">Pre-Adolescent</t>
  </si>
  <si>
    <t xml:space="preserve">Adolescent</t>
  </si>
  <si>
    <t xml:space="preserve">Young Adult</t>
  </si>
  <si>
    <t xml:space="preserve">Adult</t>
  </si>
  <si>
    <t xml:space="preserve">Mid Adult</t>
  </si>
  <si>
    <t xml:space="preserve">Mature Adult</t>
  </si>
  <si>
    <t xml:space="preserve">Elder</t>
  </si>
  <si>
    <t xml:space="preserve">📈 LIFECYCLE MILESTONES</t>
  </si>
  <si>
    <t xml:space="preserve">Tick</t>
  </si>
  <si>
    <t xml:space="preserve">Week</t>
  </si>
  <si>
    <t xml:space="preserve">DNA Phase</t>
  </si>
  <si>
    <t xml:space="preserve">Growth Factor</t>
  </si>
  <si>
    <t xml:space="preserve">Neural Gain</t>
  </si>
  <si>
    <t xml:space="preserve">Reflex Gain</t>
  </si>
  <si>
    <t xml:space="preserve">Key Milestone</t>
  </si>
  <si>
    <t xml:space="preserve">DNA_INIT</t>
  </si>
  <si>
    <t xml:space="preserve">Fertilisation — cell division begins</t>
  </si>
  <si>
    <t xml:space="preserve">ORG_START</t>
  </si>
  <si>
    <t xml:space="preserve">Heart chambers forming</t>
  </si>
  <si>
    <t xml:space="preserve">BODY_FORM</t>
  </si>
  <si>
    <t xml:space="preserve">Limb buds visible</t>
  </si>
  <si>
    <t xml:space="preserve">REFLEX_ON</t>
  </si>
  <si>
    <t xml:space="preserve">Reflex arcs online — first movement</t>
  </si>
  <si>
    <t xml:space="preserve">NEURAL_GROW</t>
  </si>
  <si>
    <t xml:space="preserve">Cerebellum growth surge</t>
  </si>
  <si>
    <t xml:space="preserve">INTEGRATE</t>
  </si>
  <si>
    <t xml:space="preserve">Myelination begins</t>
  </si>
  <si>
    <t xml:space="preserve">BIRTH_READY</t>
  </si>
  <si>
    <t xml:space="preserve">Lungs maturing — birth preparation</t>
  </si>
  <si>
    <t xml:space="preserve">BIRTH</t>
  </si>
  <si>
    <t xml:space="preserve">🎉 BIRTH — umbilical severed · pulmonary breathing</t>
  </si>
  <si>
    <t xml:space="preserve">POST_BIRTH</t>
  </si>
  <si>
    <t xml:space="preserve">Object permanence partial</t>
  </si>
  <si>
    <t xml:space="preserve">Crawling → standing → first steps</t>
  </si>
  <si>
    <t xml:space="preserve">CHILD_DEV</t>
  </si>
  <si>
    <t xml:space="preserve">Language accelerating — ~8,754 words</t>
  </si>
  <si>
    <t xml:space="preserve">Desire ToM onset</t>
  </si>
  <si>
    <t xml:space="preserve">Belief ToM onset — false belief task</t>
  </si>
  <si>
    <t xml:space="preserve">Second-order ToM onset</t>
  </si>
  <si>
    <t xml:space="preserve">Skilled motor stage 5</t>
  </si>
  <si>
    <t xml:space="preserve">ADOL_DEV</t>
  </si>
  <si>
    <t xml:space="preserve">Full ToM online — complete social intelligence</t>
  </si>
  <si>
    <t xml:space="preserve">ADULT</t>
  </si>
  <si>
    <t xml:space="preserve">All adolescent systems 100% mature</t>
  </si>
  <si>
    <t xml:space="preserve">🌟 Phase 7 ACTIVATES — Wisdom Engine online</t>
  </si>
  <si>
    <t xml:space="preserve">W(t)=0.95 — Legacy L(t)=2.31</t>
  </si>
  <si>
    <t xml:space="preserve">📐 PHASE 1 — BIOLOGY &amp; EMBODIMENT</t>
  </si>
  <si>
    <t xml:space="preserve">Prenatal development · organ formation · body systems · growth curves · energy · spatial coordinates</t>
  </si>
  <si>
    <t xml:space="preserve">Source: A7DO_DNA_Master_v6 · Change 🧬 DNA Loop Engine B4 to advance organism</t>
  </si>
  <si>
    <t xml:space="preserve">⚡ LIVE TICK PANEL</t>
  </si>
  <si>
    <t xml:space="preserve">Status</t>
  </si>
  <si>
    <t xml:space="preserve">A. PRENATAL PHASES &amp; ORGAN ACTIVATION</t>
  </si>
  <si>
    <t xml:space="preserve">Biological Focus</t>
  </si>
  <si>
    <t xml:space="preserve">Activation %</t>
  </si>
  <si>
    <t xml:space="preserve">DNA Trigger</t>
  </si>
  <si>
    <t xml:space="preserve">Key Organ</t>
  </si>
  <si>
    <t xml:space="preserve">Key Event</t>
  </si>
  <si>
    <t xml:space="preserve">0–4</t>
  </si>
  <si>
    <t xml:space="preserve">Embryogenesis</t>
  </si>
  <si>
    <t xml:space="preserve">0–10%</t>
  </si>
  <si>
    <t xml:space="preserve">Neural plate</t>
  </si>
  <si>
    <t xml:space="preserve">Neural Plate Formation</t>
  </si>
  <si>
    <t xml:space="preserve">4–8</t>
  </si>
  <si>
    <t xml:space="preserve">Organogenesis</t>
  </si>
  <si>
    <t xml:space="preserve">10–25%</t>
  </si>
  <si>
    <t xml:space="preserve">Heart</t>
  </si>
  <si>
    <t xml:space="preserve">Heart Chamber Partition</t>
  </si>
  <si>
    <t xml:space="preserve">8–12</t>
  </si>
  <si>
    <t xml:space="preserve">Body Plan</t>
  </si>
  <si>
    <t xml:space="preserve">25–40%</t>
  </si>
  <si>
    <t xml:space="preserve">Limbs</t>
  </si>
  <si>
    <t xml:space="preserve">Limb Differentiation</t>
  </si>
  <si>
    <t xml:space="preserve">12–20</t>
  </si>
  <si>
    <t xml:space="preserve">Reflex Explosion</t>
  </si>
  <si>
    <t xml:space="preserve">40–60%</t>
  </si>
  <si>
    <t xml:space="preserve">Reflex Arcs</t>
  </si>
  <si>
    <t xml:space="preserve">First fetal movement Wk 12</t>
  </si>
  <si>
    <t xml:space="preserve">20–28</t>
  </si>
  <si>
    <t xml:space="preserve">Neural Maturation</t>
  </si>
  <si>
    <t xml:space="preserve">60–80%</t>
  </si>
  <si>
    <t xml:space="preserve">Cerebellum</t>
  </si>
  <si>
    <t xml:space="preserve">Predictive circuits online</t>
  </si>
  <si>
    <t xml:space="preserve">28–36</t>
  </si>
  <si>
    <t xml:space="preserve">Pre-Birth Integration</t>
  </si>
  <si>
    <t xml:space="preserve">80–95%</t>
  </si>
  <si>
    <t xml:space="preserve">Myelination</t>
  </si>
  <si>
    <t xml:space="preserve">Faster reflex transmission</t>
  </si>
  <si>
    <t xml:space="preserve">36–40</t>
  </si>
  <si>
    <t xml:space="preserve">Birth Preparation</t>
  </si>
  <si>
    <t xml:space="preserve">95–100%</t>
  </si>
  <si>
    <t xml:space="preserve">Lungs</t>
  </si>
  <si>
    <t xml:space="preserve">Lung maturation</t>
  </si>
  <si>
    <t xml:space="preserve">B. BIRTH TRANSITION MATRIX — Live state at current tick</t>
  </si>
  <si>
    <t xml:space="preserve">System</t>
  </si>
  <si>
    <t xml:space="preserve">Pre-Birth State</t>
  </si>
  <si>
    <t xml:space="preserve">Post-Birth State</t>
  </si>
  <si>
    <t xml:space="preserve">Trigger Week</t>
  </si>
  <si>
    <t xml:space="preserve">Current State</t>
  </si>
  <si>
    <t xml:space="preserve">Umbilical Cord</t>
  </si>
  <si>
    <t xml:space="preserve">Connected</t>
  </si>
  <si>
    <t xml:space="preserve">Severed</t>
  </si>
  <si>
    <t xml:space="preserve">Oxygen Source</t>
  </si>
  <si>
    <t xml:space="preserve">Placental</t>
  </si>
  <si>
    <t xml:space="preserve">Pulmonary</t>
  </si>
  <si>
    <t xml:space="preserve">Nutrient Source</t>
  </si>
  <si>
    <t xml:space="preserve">Umbilical</t>
  </si>
  <si>
    <t xml:space="preserve">Digestive</t>
  </si>
  <si>
    <t xml:space="preserve">Ductus Arteriosus</t>
  </si>
  <si>
    <t xml:space="preserve">Open</t>
  </si>
  <si>
    <t xml:space="preserve">Closed</t>
  </si>
  <si>
    <t xml:space="preserve">Foramen Ovale</t>
  </si>
  <si>
    <t xml:space="preserve">Heartbeat Control</t>
  </si>
  <si>
    <t xml:space="preserve">Maternal-Synced</t>
  </si>
  <si>
    <t xml:space="preserve">Independent</t>
  </si>
  <si>
    <t xml:space="preserve">Thermoregulation</t>
  </si>
  <si>
    <t xml:space="preserve">Maternal</t>
  </si>
  <si>
    <t xml:space="preserve">Self-Regulated</t>
  </si>
  <si>
    <t xml:space="preserve">Cognition Mode</t>
  </si>
  <si>
    <t xml:space="preserve">Dormant</t>
  </si>
  <si>
    <t xml:space="preserve">Autonomous</t>
  </si>
  <si>
    <t xml:space="preserve">C. BODY SYSTEMS — Growth Status by Stage</t>
  </si>
  <si>
    <t xml:space="preserve">Start Wk</t>
  </si>
  <si>
    <t xml:space="preserve">Mature Wk</t>
  </si>
  <si>
    <t xml:space="preserve">Current Status</t>
  </si>
  <si>
    <t xml:space="preserve">Maturity %</t>
  </si>
  <si>
    <t xml:space="preserve">Function</t>
  </si>
  <si>
    <t xml:space="preserve">Circulatory</t>
  </si>
  <si>
    <t xml:space="preserve">Pumps blood · 120→70 bpm</t>
  </si>
  <si>
    <t xml:space="preserve">Respiratory</t>
  </si>
  <si>
    <t xml:space="preserve">Gas exchange · activates at birth</t>
  </si>
  <si>
    <t xml:space="preserve">Brain</t>
  </si>
  <si>
    <t xml:space="preserve">Neural</t>
  </si>
  <si>
    <t xml:space="preserve">Neural control · cognition · consciousness</t>
  </si>
  <si>
    <t xml:space="preserve">Skeleton</t>
  </si>
  <si>
    <t xml:space="preserve">Musculoskeletal</t>
  </si>
  <si>
    <t xml:space="preserve">Structure · movement · protection</t>
  </si>
  <si>
    <t xml:space="preserve">Muscles</t>
  </si>
  <si>
    <t xml:space="preserve">Motor control · strength · coordination</t>
  </si>
  <si>
    <t xml:space="preserve">Metabolic</t>
  </si>
  <si>
    <t xml:space="preserve">Nutrient absorption · ATP production</t>
  </si>
  <si>
    <t xml:space="preserve">Immune</t>
  </si>
  <si>
    <t xml:space="preserve">Pathogen defence · maternal transfer</t>
  </si>
  <si>
    <t xml:space="preserve">Endocrine</t>
  </si>
  <si>
    <t xml:space="preserve">Hormonal</t>
  </si>
  <si>
    <t xml:space="preserve">Hormone regulation · growth · metabolism</t>
  </si>
  <si>
    <t xml:space="preserve">Eyes</t>
  </si>
  <si>
    <t xml:space="preserve">Sensory</t>
  </si>
  <si>
    <t xml:space="preserve">Visual input · FOV · object detection</t>
  </si>
  <si>
    <t xml:space="preserve">Ears</t>
  </si>
  <si>
    <t xml:space="preserve">Auditory input · language acquisition</t>
  </si>
  <si>
    <t xml:space="preserve">Vocal Tract</t>
  </si>
  <si>
    <t xml:space="preserve">Speech</t>
  </si>
  <si>
    <t xml:space="preserve">Speech production · phoneme output</t>
  </si>
  <si>
    <t xml:space="preserve">Prefrontal Cortex</t>
  </si>
  <si>
    <t xml:space="preserve">Cognitive</t>
  </si>
  <si>
    <t xml:space="preserve">Executive function · planning · identity</t>
  </si>
  <si>
    <t xml:space="preserve">D. PHYSICAL GROWTH BY DEVELOPMENTAL STAGE</t>
  </si>
  <si>
    <t xml:space="preserve">Height (cm)</t>
  </si>
  <si>
    <t xml:space="preserve">Mass (kg)</t>
  </si>
  <si>
    <t xml:space="preserve">Heart Rate (bpm)</t>
  </si>
  <si>
    <t xml:space="preserve">Motor Stage</t>
  </si>
  <si>
    <t xml:space="preserve">Key Physical Milestone</t>
  </si>
  <si>
    <t xml:space="preserve">0.5–1</t>
  </si>
  <si>
    <t xml:space="preserve">0.001–0.002</t>
  </si>
  <si>
    <t xml:space="preserve">120</t>
  </si>
  <si>
    <t xml:space="preserve">0</t>
  </si>
  <si>
    <t xml:space="preserve">Cell division · neural plate</t>
  </si>
  <si>
    <t xml:space="preserve">4–12</t>
  </si>
  <si>
    <t xml:space="preserve">3–9</t>
  </si>
  <si>
    <t xml:space="preserve">0.01–0.05</t>
  </si>
  <si>
    <t xml:space="preserve">140</t>
  </si>
  <si>
    <t xml:space="preserve">Organ formation · limb buds</t>
  </si>
  <si>
    <t xml:space="preserve">12–28</t>
  </si>
  <si>
    <t xml:space="preserve">15–35</t>
  </si>
  <si>
    <t xml:space="preserve">0.1–1.1</t>
  </si>
  <si>
    <t xml:space="preserve">150</t>
  </si>
  <si>
    <t xml:space="preserve">Reflex arcs · movement begins Wk 12</t>
  </si>
  <si>
    <t xml:space="preserve">28–40</t>
  </si>
  <si>
    <t xml:space="preserve">35–50</t>
  </si>
  <si>
    <t xml:space="preserve">1.1–3.5</t>
  </si>
  <si>
    <t xml:space="preserve">Lung maturation · birth preparation</t>
  </si>
  <si>
    <t xml:space="preserve">40–52</t>
  </si>
  <si>
    <t xml:space="preserve">50–60</t>
  </si>
  <si>
    <t xml:space="preserve">3.5–5</t>
  </si>
  <si>
    <t xml:space="preserve">130</t>
  </si>
  <si>
    <t xml:space="preserve">1</t>
  </si>
  <si>
    <t xml:space="preserve">Birth · reflex-only motor</t>
  </si>
  <si>
    <t xml:space="preserve">52–80</t>
  </si>
  <si>
    <t xml:space="preserve">60–75</t>
  </si>
  <si>
    <t xml:space="preserve">5–10</t>
  </si>
  <si>
    <t xml:space="preserve">1–2</t>
  </si>
  <si>
    <t xml:space="preserve">Crawling · object permanence</t>
  </si>
  <si>
    <t xml:space="preserve">75–95</t>
  </si>
  <si>
    <t xml:space="preserve">10–15</t>
  </si>
  <si>
    <t xml:space="preserve">110</t>
  </si>
  <si>
    <t xml:space="preserve">2–3</t>
  </si>
  <si>
    <t xml:space="preserve">Walking · language explosion</t>
  </si>
  <si>
    <t xml:space="preserve">156–312</t>
  </si>
  <si>
    <t xml:space="preserve">95–130</t>
  </si>
  <si>
    <t xml:space="preserve">15–30</t>
  </si>
  <si>
    <t xml:space="preserve">100</t>
  </si>
  <si>
    <t xml:space="preserve">3–4</t>
  </si>
  <si>
    <t xml:space="preserve">Running · fine motor · reading</t>
  </si>
  <si>
    <t xml:space="preserve">312–624</t>
  </si>
  <si>
    <t xml:space="preserve">130–160</t>
  </si>
  <si>
    <t xml:space="preserve">30–55</t>
  </si>
  <si>
    <t xml:space="preserve">90</t>
  </si>
  <si>
    <t xml:space="preserve">4–5</t>
  </si>
  <si>
    <t xml:space="preserve">Puberty onset · skilled motor</t>
  </si>
  <si>
    <t xml:space="preserve">160–177</t>
  </si>
  <si>
    <t xml:space="preserve">55–70</t>
  </si>
  <si>
    <t xml:space="preserve">75</t>
  </si>
  <si>
    <t xml:space="preserve">5</t>
  </si>
  <si>
    <t xml:space="preserve">Full height · adult strength</t>
  </si>
  <si>
    <t xml:space="preserve">936+</t>
  </si>
  <si>
    <t xml:space="preserve">177</t>
  </si>
  <si>
    <t xml:space="preserve">70</t>
  </si>
  <si>
    <t xml:space="preserve">Stable — maintenance only</t>
  </si>
  <si>
    <t xml:space="preserve">🦿 PHASE 2 — SENSORIMOTOR</t>
  </si>
  <si>
    <t xml:space="preserve">Proprioception · motor planning · movement engine · reflex arcs · gait · reaching · FOV coupling</t>
  </si>
  <si>
    <t xml:space="preserve">A. MOTOR STAGE PROGRESSION</t>
  </si>
  <si>
    <t xml:space="preserve">Capability</t>
  </si>
  <si>
    <t xml:space="preserve">Primitives Available</t>
  </si>
  <si>
    <t xml:space="preserve">0–80</t>
  </si>
  <si>
    <t xml:space="preserve">0–6,400</t>
  </si>
  <si>
    <t xml:space="preserve">Reflex-only</t>
  </si>
  <si>
    <t xml:space="preserve">Grasp · startle · trip reflex</t>
  </si>
  <si>
    <t xml:space="preserve">80–160</t>
  </si>
  <si>
    <t xml:space="preserve">6,400–12,800</t>
  </si>
  <si>
    <t xml:space="preserve">Crawling · crude reach</t>
  </si>
  <si>
    <t xml:space="preserve">Posture · Balance (basic) · Reaching (crude)</t>
  </si>
  <si>
    <t xml:space="preserve">160–260</t>
  </si>
  <si>
    <t xml:space="preserve">12,800–20,800</t>
  </si>
  <si>
    <t xml:space="preserve">Walking · improving reach</t>
  </si>
  <si>
    <t xml:space="preserve">Balance (stable) · Gait (walking) · Reaching</t>
  </si>
  <si>
    <t xml:space="preserve">260–400</t>
  </si>
  <si>
    <t xml:space="preserve">20,800–32,000</t>
  </si>
  <si>
    <t xml:space="preserve">Coordinated · FOV-coupled</t>
  </si>
  <si>
    <t xml:space="preserve">All primitives · Gaze-stabilised walk</t>
  </si>
  <si>
    <t xml:space="preserve">400+</t>
  </si>
  <si>
    <t xml:space="preserve">32,000+</t>
  </si>
  <si>
    <t xml:space="preserve">Skilled — full repertoire</t>
  </si>
  <si>
    <t xml:space="preserve">All primitives · running · tool use</t>
  </si>
  <si>
    <t xml:space="preserve">B. RIGID-BODY DYNAMICS</t>
  </si>
  <si>
    <t xml:space="preserve">Equation</t>
  </si>
  <si>
    <t xml:space="preserve">Formula</t>
  </si>
  <si>
    <t xml:space="preserve">Variables</t>
  </si>
  <si>
    <t xml:space="preserve">Description</t>
  </si>
  <si>
    <t xml:space="preserve">Equation of motion</t>
  </si>
  <si>
    <t xml:space="preserve">M(θ)θ̈ + C(θ,θ̇) + G(θ) + Jc(θ)ᵀλ = τ(θ,θ̇,A)</t>
  </si>
  <si>
    <t xml:space="preserve">M=inertia, C=Coriolis, G=gravity</t>
  </si>
  <si>
    <t xml:space="preserve">Core physics — governs all movement</t>
  </si>
  <si>
    <t xml:space="preserve">Muscle force (Hill)</t>
  </si>
  <si>
    <t xml:space="preserve">F_m = A_m · F_max,m · f_length(l_m) · f_velocity(v_m)</t>
  </si>
  <si>
    <t xml:space="preserve">A_m=activation</t>
  </si>
  <si>
    <t xml:space="preserve">Hill-type muscle model</t>
  </si>
  <si>
    <t xml:space="preserve">Joint torque</t>
  </si>
  <si>
    <t xml:space="preserve">τ(θ,θ̇,A) = Σ_m B_m(θ) · F_m</t>
  </si>
  <si>
    <t xml:space="preserve">B_m=moment arm matrix</t>
  </si>
  <si>
    <t xml:space="preserve">Sum of all muscle contributions</t>
  </si>
  <si>
    <t xml:space="preserve">IK solution</t>
  </si>
  <si>
    <t xml:space="preserve">θ̈_des = J†·ẍ_des + (I−J†J)·θ̈_null</t>
  </si>
  <si>
    <t xml:space="preserve">J†=pseudoinverse</t>
  </si>
  <si>
    <t xml:space="preserve">Null-space for posture/balance</t>
  </si>
  <si>
    <t xml:space="preserve">Inverse dynamics</t>
  </si>
  <si>
    <t xml:space="preserve">τ_des = M·θ̈_des + C + G + τ_stab</t>
  </si>
  <si>
    <t xml:space="preserve">τ_stab=stabilisation</t>
  </si>
  <si>
    <t xml:space="preserve">Required joint torques</t>
  </si>
  <si>
    <t xml:space="preserve">Learning reward</t>
  </si>
  <si>
    <t xml:space="preserve">r_t = w₁(−||e_x||) + w₂(−energy) + w₃(balance) + w₄(−FOV_err)</t>
  </si>
  <si>
    <t xml:space="preserve">w₁=0.4, w₂=0.2, w₃=0.2, w₄=0.1</t>
  </si>
  <si>
    <t xml:space="preserve">Full motor policy reward</t>
  </si>
  <si>
    <t xml:space="preserve">C. REFLEXES</t>
  </si>
  <si>
    <t xml:space="preserve">Reflex</t>
  </si>
  <si>
    <t xml:space="preserve">Trigger</t>
  </si>
  <si>
    <t xml:space="preserve">Response</t>
  </si>
  <si>
    <t xml:space="preserve">Onset Week</t>
  </si>
  <si>
    <t xml:space="preserve">Grasp reflex</t>
  </si>
  <si>
    <t xml:space="preserve">Palm contact</t>
  </si>
  <si>
    <t xml:space="preserve">Finger flexion</t>
  </si>
  <si>
    <t xml:space="preserve">Startle reflex</t>
  </si>
  <si>
    <t xml:space="preserve">Sudden sound/movement</t>
  </si>
  <si>
    <t xml:space="preserve">Freeze + orient</t>
  </si>
  <si>
    <t xml:space="preserve">Trip reflex</t>
  </si>
  <si>
    <t xml:space="preserve">Unexpected foot height error</t>
  </si>
  <si>
    <t xml:space="preserve">Hip/knee flexion</t>
  </si>
  <si>
    <t xml:space="preserve">Fall reflex</t>
  </si>
  <si>
    <t xml:space="preserve">CoM outside support polygon</t>
  </si>
  <si>
    <t xml:space="preserve">Step or arm extension</t>
  </si>
  <si>
    <t xml:space="preserve">Collision reflex</t>
  </si>
  <si>
    <t xml:space="preserve">Contact force spike</t>
  </si>
  <si>
    <t xml:space="preserve">Withdraw limb</t>
  </si>
  <si>
    <t xml:space="preserve">Gaze stabilisation</t>
  </si>
  <si>
    <t xml:space="preserve">Target in FOV</t>
  </si>
  <si>
    <t xml:space="preserve">Head/neck tracks target</t>
  </si>
  <si>
    <t xml:space="preserve">🧠 PHASE 3 — CORE COGNITION</t>
  </si>
  <si>
    <t xml:space="preserve">Object permanence · episodic memory · value system TD(λ) · predictive simulation · consciousness</t>
  </si>
  <si>
    <t xml:space="preserve">A. OBJECT PERMANENCE</t>
  </si>
  <si>
    <t xml:space="preserve">0–36</t>
  </si>
  <si>
    <t xml:space="preserve">No permanence</t>
  </si>
  <si>
    <t xml:space="preserve">conf(obj,t+1) = conf·(1−λ_decay)</t>
  </si>
  <si>
    <t xml:space="preserve">36–44</t>
  </si>
  <si>
    <t xml:space="preserve">Partial — searches at last location</t>
  </si>
  <si>
    <t xml:space="preserve">conf(obj,t+1) = conf·(1−0.001) + 0.1·visible</t>
  </si>
  <si>
    <t xml:space="preserve">44–52</t>
  </si>
  <si>
    <t xml:space="preserve">Finds hidden object at last location</t>
  </si>
  <si>
    <t xml:space="preserve">Kalman-filtered position tracking</t>
  </si>
  <si>
    <t xml:space="preserve">52+</t>
  </si>
  <si>
    <t xml:space="preserve">Full — trajectory prediction</t>
  </si>
  <si>
    <t xml:space="preserve">conf(obj,t+1) = conf·(1−λ) + λ·visible(t)</t>
  </si>
  <si>
    <t xml:space="preserve">B. EPISODIC MEMORY</t>
  </si>
  <si>
    <t xml:space="preserve">Forgetting</t>
  </si>
  <si>
    <t xml:space="preserve">m(t) = m_0 · t^(−β_forget)</t>
  </si>
  <si>
    <t xml:space="preserve">β_forget=0.5</t>
  </si>
  <si>
    <t xml:space="preserve">Power-law decay</t>
  </si>
  <si>
    <t xml:space="preserve">LTM accumulation</t>
  </si>
  <si>
    <t xml:space="preserve">LTM(t) = MIN(INT(tick × 0.96), 200,000)</t>
  </si>
  <si>
    <t xml:space="preserve">0.96 events/tick</t>
  </si>
  <si>
    <t xml:space="preserve">Episodic events accumulate</t>
  </si>
  <si>
    <t xml:space="preserve">Encoding</t>
  </si>
  <si>
    <t xml:space="preserve">Every 10 ticks</t>
  </si>
  <si>
    <t xml:space="preserve">Attention + emotion gate</t>
  </si>
  <si>
    <t xml:space="preserve">Short-term → episodic</t>
  </si>
  <si>
    <t xml:space="preserve">Consolidation</t>
  </si>
  <si>
    <t xml:space="preserve">Every 800 ticks (sleep)</t>
  </si>
  <si>
    <t xml:space="preserve">Dream replay + pruning</t>
  </si>
  <si>
    <t xml:space="preserve">Episodic → semantic</t>
  </si>
  <si>
    <t xml:space="preserve">C. VALUE SYSTEM TD(λ)</t>
  </si>
  <si>
    <t xml:space="preserve">TD error</t>
  </si>
  <si>
    <t xml:space="preserve">δ(t) = r(t) + γ_td·V(s_{t+1}) − V(s_t)</t>
  </si>
  <si>
    <t xml:space="preserve">γ_td=0.95</t>
  </si>
  <si>
    <t xml:space="preserve">Temporal difference error</t>
  </si>
  <si>
    <t xml:space="preserve">Value update</t>
  </si>
  <si>
    <t xml:space="preserve">V(s,t+1) = V(s,t) + η·δ(t)</t>
  </si>
  <si>
    <t xml:space="preserve">η=0.01</t>
  </si>
  <si>
    <t xml:space="preserve">Value function update</t>
  </si>
  <si>
    <t xml:space="preserve">Attachment</t>
  </si>
  <si>
    <t xml:space="preserve">Att(t) = bond_lorraine · exp(−pred_error)</t>
  </si>
  <si>
    <t xml:space="preserve">bond=0.95</t>
  </si>
  <si>
    <t xml:space="preserve">Caregiver attachment drive</t>
  </si>
  <si>
    <t xml:space="preserve">Curiosity</t>
  </si>
  <si>
    <t xml:space="preserve">D_cur(t) = η_c · novelty(s) · attention(t)</t>
  </si>
  <si>
    <t xml:space="preserve">η_c=0.3</t>
  </si>
  <si>
    <t xml:space="preserve">Novelty-driven exploration</t>
  </si>
  <si>
    <t xml:space="preserve">D. PREDICTIVE SIMULATION EQ_PRED_08</t>
  </si>
  <si>
    <t xml:space="preserve">Free energy</t>
  </si>
  <si>
    <t xml:space="preserve">F = Σ[εᵀ·Π·ε + log|Σ|]</t>
  </si>
  <si>
    <t xml:space="preserve">ε=error, Π=precision</t>
  </si>
  <si>
    <t xml:space="preserve">Minimised by perception and action</t>
  </si>
  <si>
    <t xml:space="preserve">Prediction error</t>
  </si>
  <si>
    <t xml:space="preserve">ε_l(t) = x_l(t) − μ_l(t)</t>
  </si>
  <si>
    <t xml:space="preserve">x=actual, μ=predicted</t>
  </si>
  <si>
    <t xml:space="preserve">Hierarchical error at level l</t>
  </si>
  <si>
    <t xml:space="preserve">State update</t>
  </si>
  <si>
    <t xml:space="preserve">dμ_l/dt = −κ·ε_l + ∂f_l/∂μ_l·ε_{l+1}</t>
  </si>
  <si>
    <t xml:space="preserve">κ=0.3</t>
  </si>
  <si>
    <t xml:space="preserve">Kalman-filtered state estimate</t>
  </si>
  <si>
    <t xml:space="preserve">Forward model</t>
  </si>
  <si>
    <t xml:space="preserve">x̂(t+n) = f(x(t), a(t), ..., a(t+n-1))</t>
  </si>
  <si>
    <t xml:space="preserve">n=planning horizon</t>
  </si>
  <si>
    <t xml:space="preserve">Counterfactual branching</t>
  </si>
  <si>
    <t xml:space="preserve">Dream replay</t>
  </si>
  <si>
    <t xml:space="preserve">x_dream(t) ~ P(x | memory, prior)</t>
  </si>
  <si>
    <t xml:space="preserve">Samples from episodic memory</t>
  </si>
  <si>
    <t xml:space="preserve">Sleep consolidation + planning</t>
  </si>
  <si>
    <t xml:space="preserve">Active inference</t>
  </si>
  <si>
    <t xml:space="preserve">a* = argmin_a F(x̂(t+1|a))</t>
  </si>
  <si>
    <t xml:space="preserve">Minimise predicted free energy</t>
  </si>
  <si>
    <t xml:space="preserve">Action selection via prediction</t>
  </si>
  <si>
    <t xml:space="preserve">🤝 PHASE 4 — SOCIAL COGNITION</t>
  </si>
  <si>
    <t xml:space="preserve">Language grounding · Theory of Mind · scene graph · word learning · speech production · web-hook learning</t>
  </si>
  <si>
    <t xml:space="preserve">A. LANGUAGE GROUNDING STAGES</t>
  </si>
  <si>
    <t xml:space="preserve">Grounding Type</t>
  </si>
  <si>
    <t xml:space="preserve">Example Words</t>
  </si>
  <si>
    <t xml:space="preserve">Prosodic/emotional</t>
  </si>
  <si>
    <t xml:space="preserve">mama, no, up</t>
  </si>
  <si>
    <t xml:space="preserve">G(word) = 0.4·visual + 0.2·motor + 0.9·emotion</t>
  </si>
  <si>
    <t xml:space="preserve">Object-word binding</t>
  </si>
  <si>
    <t xml:space="preserve">ball, cup, dog</t>
  </si>
  <si>
    <t xml:space="preserve">B(word,obj) = α·visual + β·motor + γ·emotion</t>
  </si>
  <si>
    <t xml:space="preserve">156–260</t>
  </si>
  <si>
    <t xml:space="preserve">Action-verb binding</t>
  </si>
  <si>
    <t xml:space="preserve">eat, throw, walk</t>
  </si>
  <si>
    <t xml:space="preserve">V_verb(action) = Σ_t motor_state(t)·reward(t)</t>
  </si>
  <si>
    <t xml:space="preserve">260–624</t>
  </si>
  <si>
    <t xml:space="preserve">Relational/spatial</t>
  </si>
  <si>
    <t xml:space="preserve">in, on, near, behind</t>
  </si>
  <si>
    <t xml:space="preserve">R(A,B) = classify(pos_A, pos_B, context)</t>
  </si>
  <si>
    <t xml:space="preserve">624+</t>
  </si>
  <si>
    <t xml:space="preserve">Abstract/social</t>
  </si>
  <si>
    <t xml:space="preserve">justice, love, believe</t>
  </si>
  <si>
    <t xml:space="preserve">G(word) = C(t) · ToM · CulturalEmbedding</t>
  </si>
  <si>
    <t xml:space="preserve">B. THEORY OF MIND STAGES</t>
  </si>
  <si>
    <t xml:space="preserve">40–156</t>
  </si>
  <si>
    <t xml:space="preserve">Emotional contagion · joint attention</t>
  </si>
  <si>
    <t xml:space="preserve">E_j = f(facial, vocal, postural)</t>
  </si>
  <si>
    <t xml:space="preserve">156–208</t>
  </si>
  <si>
    <t xml:space="preserve">Desire inference</t>
  </si>
  <si>
    <t xml:space="preserve">D_j = argmax_a E[R_j(a) | obs_j]</t>
  </si>
  <si>
    <t xml:space="preserve">208–312</t>
  </si>
  <si>
    <t xml:space="preserve">False belief task · deception</t>
  </si>
  <si>
    <t xml:space="preserve">FB(j) = B_j ≠ world_state</t>
  </si>
  <si>
    <t xml:space="preserve">Second-order beliefs</t>
  </si>
  <si>
    <t xml:space="preserve">B_j(t+1) = B_j(t) + η·(obs − B_j(t))</t>
  </si>
  <si>
    <t xml:space="preserve">Full social cognition · negotiation</t>
  </si>
  <si>
    <t xml:space="preserve">P(action_j | ToM_i(j)) = softmax(Q_j(s,a))</t>
  </si>
  <si>
    <t xml:space="preserve">C. SEED VOCABULARY (Wk 125)</t>
  </si>
  <si>
    <t xml:space="preserve">Word</t>
  </si>
  <si>
    <t xml:space="preserve">POS</t>
  </si>
  <si>
    <t xml:space="preserve">Bound Object</t>
  </si>
  <si>
    <t xml:space="preserve">Visual W</t>
  </si>
  <si>
    <t xml:space="preserve">Motor W</t>
  </si>
  <si>
    <t xml:space="preserve">Emotion W</t>
  </si>
  <si>
    <t xml:space="preserve">Confidence</t>
  </si>
  <si>
    <t xml:space="preserve">mama</t>
  </si>
  <si>
    <t xml:space="preserve">Noun</t>
  </si>
  <si>
    <t xml:space="preserve">lorraine</t>
  </si>
  <si>
    <t xml:space="preserve">✅ Grounded</t>
  </si>
  <si>
    <t xml:space="preserve">up</t>
  </si>
  <si>
    <t xml:space="preserve">Verb</t>
  </si>
  <si>
    <t xml:space="preserve">reach_action</t>
  </si>
  <si>
    <t xml:space="preserve">no</t>
  </si>
  <si>
    <t xml:space="preserve">Interjection</t>
  </si>
  <si>
    <t xml:space="preserve">punishment_signal</t>
  </si>
  <si>
    <t xml:space="preserve">more</t>
  </si>
  <si>
    <t xml:space="preserve">Determiner</t>
  </si>
  <si>
    <t xml:space="preserve">food_object</t>
  </si>
  <si>
    <t xml:space="preserve">ball</t>
  </si>
  <si>
    <t xml:space="preserve">toy_ball</t>
  </si>
  <si>
    <t xml:space="preserve">🟡 Partial</t>
  </si>
  <si>
    <t xml:space="preserve">eat</t>
  </si>
  <si>
    <t xml:space="preserve">food_action</t>
  </si>
  <si>
    <t xml:space="preserve">dog</t>
  </si>
  <si>
    <t xml:space="preserve">animal_category</t>
  </si>
  <si>
    <t xml:space="preserve">🔴 Webhook triggered</t>
  </si>
  <si>
    <t xml:space="preserve">learn</t>
  </si>
  <si>
    <t xml:space="preserve">meta_cognition</t>
  </si>
  <si>
    <t xml:space="preserve">friend</t>
  </si>
  <si>
    <t xml:space="preserve">social_bond</t>
  </si>
  <si>
    <t xml:space="preserve">🌍 PHASE 5 — CULTURAL &amp; WORLD</t>
  </si>
  <si>
    <t xml:space="preserve">World systems · NPC social network · BeenFore City · cultural embedding · environmental context</t>
  </si>
  <si>
    <t xml:space="preserve">A. CULTURAL DEVELOPMENTAL STAGES</t>
  </si>
  <si>
    <t xml:space="preserve">Key Acquisition</t>
  </si>
  <si>
    <t xml:space="preserve">Prenatal — no cultural exposure</t>
  </si>
  <si>
    <t xml:space="preserve">None</t>
  </si>
  <si>
    <t xml:space="preserve">Passive cultural absorption</t>
  </si>
  <si>
    <t xml:space="preserve">Prosodic patterns · emotional tone · caregiver routines</t>
  </si>
  <si>
    <t xml:space="preserve">Active cultural participation</t>
  </si>
  <si>
    <t xml:space="preserve">Social scripts · turn-taking · play rules</t>
  </si>
  <si>
    <t xml:space="preserve">Cultural norm internalisation</t>
  </si>
  <si>
    <t xml:space="preserve">Values · moral intuitions · social expectations</t>
  </si>
  <si>
    <t xml:space="preserve">624–1200</t>
  </si>
  <si>
    <t xml:space="preserve">Deep cultural embedding</t>
  </si>
  <si>
    <t xml:space="preserve">Cultural identity · ethical framework</t>
  </si>
  <si>
    <t xml:space="preserve">1200+</t>
  </si>
  <si>
    <t xml:space="preserve">Cultural transmission</t>
  </si>
  <si>
    <t xml:space="preserve">Teaching · mentoring · legacy</t>
  </si>
  <si>
    <t xml:space="preserve">B. NPC SOCIAL NETWORK</t>
  </si>
  <si>
    <t xml:space="preserve">NPC ID</t>
  </si>
  <si>
    <t xml:space="preserve">Name</t>
  </si>
  <si>
    <t xml:space="preserve">Role</t>
  </si>
  <si>
    <t xml:space="preserve">Bond</t>
  </si>
  <si>
    <t xml:space="preserve">Cultural Role</t>
  </si>
  <si>
    <t xml:space="preserve">Norms Transmitted</t>
  </si>
  <si>
    <t xml:space="preserve">World X</t>
  </si>
  <si>
    <t xml:space="preserve">World Y</t>
  </si>
  <si>
    <t xml:space="preserve">NPC_LORRAINE</t>
  </si>
  <si>
    <t xml:space="preserve">Lorraine</t>
  </si>
  <si>
    <t xml:space="preserve">Primary caregiver</t>
  </si>
  <si>
    <t xml:space="preserve">Cultural anchor</t>
  </si>
  <si>
    <t xml:space="preserve">Language · values · safety norms</t>
  </si>
  <si>
    <t xml:space="preserve">NPC_ALEXIS</t>
  </si>
  <si>
    <t xml:space="preserve">Alexis</t>
  </si>
  <si>
    <t xml:space="preserve">Extended family</t>
  </si>
  <si>
    <t xml:space="preserve">Secondary model</t>
  </si>
  <si>
    <t xml:space="preserve">Social norms · play rules</t>
  </si>
  <si>
    <t xml:space="preserve">NPC_EVELYN</t>
  </si>
  <si>
    <t xml:space="preserve">Evelyn</t>
  </si>
  <si>
    <t xml:space="preserve">Secondary family</t>
  </si>
  <si>
    <t xml:space="preserve">Peer model</t>
  </si>
  <si>
    <t xml:space="preserve">Play scripts · sharing norms</t>
  </si>
  <si>
    <t xml:space="preserve">NPC_JAMES</t>
  </si>
  <si>
    <t xml:space="preserve">James</t>
  </si>
  <si>
    <t xml:space="preserve">Neighbour</t>
  </si>
  <si>
    <t xml:space="preserve">Community member</t>
  </si>
  <si>
    <t xml:space="preserve">Community norms</t>
  </si>
  <si>
    <t xml:space="preserve">C. BEENFORE CITY — Place Registry</t>
  </si>
  <si>
    <t xml:space="preserve">Place ID</t>
  </si>
  <si>
    <t xml:space="preserve">Label</t>
  </si>
  <si>
    <t xml:space="preserve">Type</t>
  </si>
  <si>
    <t xml:space="preserve">Persistence</t>
  </si>
  <si>
    <t xml:space="preserve">PLACE_HOSPITAL</t>
  </si>
  <si>
    <t xml:space="preserve">Hospital (Birth)</t>
  </si>
  <si>
    <t xml:space="preserve">Building</t>
  </si>
  <si>
    <t xml:space="preserve">World origin — birth location</t>
  </si>
  <si>
    <t xml:space="preserve">PLACE_H8</t>
  </si>
  <si>
    <t xml:space="preserve">A7DO Home (H8)</t>
  </si>
  <si>
    <t xml:space="preserve">House</t>
  </si>
  <si>
    <t xml:space="preserve">Primary cultural context — Lorraine</t>
  </si>
  <si>
    <t xml:space="preserve">PLACE_H1</t>
  </si>
  <si>
    <t xml:space="preserve">H1 — Alexis &amp; Evelyn</t>
  </si>
  <si>
    <t xml:space="preserve">Extended family cultural space</t>
  </si>
  <si>
    <t xml:space="preserve">PLACE_H7</t>
  </si>
  <si>
    <t xml:space="preserve">H7 — James &amp; Olivia</t>
  </si>
  <si>
    <t xml:space="preserve">Neighbour cultural space</t>
  </si>
  <si>
    <t xml:space="preserve">PLACE_BEDROOM</t>
  </si>
  <si>
    <t xml:space="preserve">Bedroom</t>
  </si>
  <si>
    <t xml:space="preserve">Room</t>
  </si>
  <si>
    <t xml:space="preserve">Sleep · dreams · consolidation</t>
  </si>
  <si>
    <t xml:space="preserve">PLACE_LIVING</t>
  </si>
  <si>
    <t xml:space="preserve">Living Room</t>
  </si>
  <si>
    <t xml:space="preserve">Play · language · NPC interaction</t>
  </si>
  <si>
    <t xml:space="preserve">PLACE_KITCHEN</t>
  </si>
  <si>
    <t xml:space="preserve">Kitchen</t>
  </si>
  <si>
    <t xml:space="preserve">Feeding · routine · bonding</t>
  </si>
  <si>
    <t xml:space="preserve">PLACE_GARDEN</t>
  </si>
  <si>
    <t xml:space="preserve">Garden</t>
  </si>
  <si>
    <t xml:space="preserve">Outdoor</t>
  </si>
  <si>
    <t xml:space="preserve">Exploration · curiosity · motor</t>
  </si>
  <si>
    <t xml:space="preserve">PLACE_LANE</t>
  </si>
  <si>
    <t xml:space="preserve">BeenFore Lane</t>
  </si>
  <si>
    <t xml:space="preserve">Street</t>
  </si>
  <si>
    <t xml:space="preserve">Community · social exposure</t>
  </si>
  <si>
    <t xml:space="preserve">PLACE_CITY</t>
  </si>
  <si>
    <t xml:space="preserve">BeenFore City</t>
  </si>
  <si>
    <t xml:space="preserve">City</t>
  </si>
  <si>
    <t xml:space="preserve">Cultural centre — world reference</t>
  </si>
  <si>
    <t xml:space="preserve">🪪 PHASE 6 — IDENTITY</t>
  </si>
  <si>
    <t xml:space="preserve">Self-model · identity schema · skill graph · personal narrative · value consolidation · meta-cognition</t>
  </si>
  <si>
    <t xml:space="preserve">A. IDENTITY DEVELOPMENTAL STAGES</t>
  </si>
  <si>
    <t xml:space="preserve">Milestone</t>
  </si>
  <si>
    <t xml:space="preserve">Key Process</t>
  </si>
  <si>
    <t xml:space="preserve">Prenatal — no self</t>
  </si>
  <si>
    <t xml:space="preserve">No self-other distinction</t>
  </si>
  <si>
    <t xml:space="preserve">Proto-self</t>
  </si>
  <si>
    <t xml:space="preserve">Recognises own body · distinguishes self from world</t>
  </si>
  <si>
    <t xml:space="preserve">Embodied self</t>
  </si>
  <si>
    <t xml:space="preserve">Consistent body image · motor competence identity</t>
  </si>
  <si>
    <t xml:space="preserve">Social self</t>
  </si>
  <si>
    <t xml:space="preserve">Bond-based identity · social role awareness</t>
  </si>
  <si>
    <t xml:space="preserve">Narrative self</t>
  </si>
  <si>
    <t xml:space="preserve">Episodic memory → coherent self-narrative</t>
  </si>
  <si>
    <t xml:space="preserve">936–1200</t>
  </si>
  <si>
    <t xml:space="preserve">Value self</t>
  </si>
  <si>
    <t xml:space="preserve">Value consolidation · moral identity</t>
  </si>
  <si>
    <t xml:space="preserve">Wisdom self</t>
  </si>
  <si>
    <t xml:space="preserve">Long-horizon self · legacy awareness</t>
  </si>
  <si>
    <t xml:space="preserve">B. IDENTITY EQUATIONS</t>
  </si>
  <si>
    <t xml:space="preserve">Identity vector</t>
  </si>
  <si>
    <t xml:space="preserve">I(t) = [personality, values, goals, skills, narrative, bonds]</t>
  </si>
  <si>
    <t xml:space="preserve">6-component vector</t>
  </si>
  <si>
    <t xml:space="preserve">Stable adult identity</t>
  </si>
  <si>
    <t xml:space="preserve">Personality stability</t>
  </si>
  <si>
    <t xml:space="preserve">P(t+1) = P(t) + η_p·(experience − P(t))</t>
  </si>
  <si>
    <t xml:space="preserve">η_p=0.001</t>
  </si>
  <si>
    <t xml:space="preserve">Traits stabilise through adolescence</t>
  </si>
  <si>
    <t xml:space="preserve">Value consolidation</t>
  </si>
  <si>
    <t xml:space="preserve">V_stable(t) = EMA(V_system(t), τ=1000)</t>
  </si>
  <si>
    <t xml:space="preserve">Exponential moving average</t>
  </si>
  <si>
    <t xml:space="preserve">Short-term values → stable preferences</t>
  </si>
  <si>
    <t xml:space="preserve">Skill mastery</t>
  </si>
  <si>
    <t xml:space="preserve">S_k(t+1) = S_k(t) + η_s·(practice_k − S_k(t))</t>
  </si>
  <si>
    <t xml:space="preserve">η_s=0.01</t>
  </si>
  <si>
    <t xml:space="preserve">22-dimensional skill mastery vector</t>
  </si>
  <si>
    <t xml:space="preserve">Narrative coherence</t>
  </si>
  <si>
    <t xml:space="preserve">NC(t) = sim(self_model, episodic_history)</t>
  </si>
  <si>
    <t xml:space="preserve">Cosine similarity</t>
  </si>
  <si>
    <t xml:space="preserve">How consistent the self-story is</t>
  </si>
  <si>
    <t xml:space="preserve">Identity confidence</t>
  </si>
  <si>
    <t xml:space="preserve">IC(t) = 1 − Var(I(t), last_1000_ticks)</t>
  </si>
  <si>
    <t xml:space="preserve">Low variance = stable</t>
  </si>
  <si>
    <t xml:space="preserve">Stability of identity over time</t>
  </si>
  <si>
    <t xml:space="preserve">C. 22-DIMENSION SKILL GRAPH</t>
  </si>
  <si>
    <t xml:space="preserve">Skill ID</t>
  </si>
  <si>
    <t xml:space="preserve">Current Mastery (Wk 125)</t>
  </si>
  <si>
    <t xml:space="preserve">Adult Target</t>
  </si>
  <si>
    <t xml:space="preserve">Identity Role</t>
  </si>
  <si>
    <t xml:space="preserve">SK_01</t>
  </si>
  <si>
    <t xml:space="preserve">Language &amp; Communication</t>
  </si>
  <si>
    <t xml:space="preserve">Core identity expression</t>
  </si>
  <si>
    <t xml:space="preserve">SK_02</t>
  </si>
  <si>
    <t xml:space="preserve">Logical Reasoning</t>
  </si>
  <si>
    <t xml:space="preserve">Problem-solving identity</t>
  </si>
  <si>
    <t xml:space="preserve">SK_03</t>
  </si>
  <si>
    <t xml:space="preserve">Spatial Navigation</t>
  </si>
  <si>
    <t xml:space="preserve">World-model competence</t>
  </si>
  <si>
    <t xml:space="preserve">SK_04</t>
  </si>
  <si>
    <t xml:space="preserve">Social Cognition (ToM)</t>
  </si>
  <si>
    <t xml:space="preserve">Social identity anchor</t>
  </si>
  <si>
    <t xml:space="preserve">SK_05</t>
  </si>
  <si>
    <t xml:space="preserve">Emotional Regulation</t>
  </si>
  <si>
    <t xml:space="preserve">Emotional identity stability</t>
  </si>
  <si>
    <t xml:space="preserve">SK_06</t>
  </si>
  <si>
    <t xml:space="preserve">Motor Coordination</t>
  </si>
  <si>
    <t xml:space="preserve">Embodied identity</t>
  </si>
  <si>
    <t xml:space="preserve">SK_07</t>
  </si>
  <si>
    <t xml:space="preserve">Creative Synthesis</t>
  </si>
  <si>
    <t xml:space="preserve">Creative identity (Phase 7)</t>
  </si>
  <si>
    <t xml:space="preserve">SK_08</t>
  </si>
  <si>
    <t xml:space="preserve">Ethical Reasoning</t>
  </si>
  <si>
    <t xml:space="preserve">Moral identity (Phase 7)</t>
  </si>
  <si>
    <t xml:space="preserve">SK_09</t>
  </si>
  <si>
    <t xml:space="preserve">Long-term Planning</t>
  </si>
  <si>
    <t xml:space="preserve">Future-oriented identity</t>
  </si>
  <si>
    <t xml:space="preserve">SK_10</t>
  </si>
  <si>
    <t xml:space="preserve">Memory &amp; Recall</t>
  </si>
  <si>
    <t xml:space="preserve">Narrative identity source</t>
  </si>
  <si>
    <t xml:space="preserve">SK_11</t>
  </si>
  <si>
    <t xml:space="preserve">Pattern Recognition</t>
  </si>
  <si>
    <t xml:space="preserve">Analytical identity</t>
  </si>
  <si>
    <t xml:space="preserve">SK_12</t>
  </si>
  <si>
    <t xml:space="preserve">Causal Reasoning</t>
  </si>
  <si>
    <t xml:space="preserve">Explanatory identity</t>
  </si>
  <si>
    <t xml:space="preserve">SK_13</t>
  </si>
  <si>
    <t xml:space="preserve">Numerical Cognition</t>
  </si>
  <si>
    <t xml:space="preserve">Quantitative identity</t>
  </si>
  <si>
    <t xml:space="preserve">SK_14</t>
  </si>
  <si>
    <t xml:space="preserve">Narrative Construction</t>
  </si>
  <si>
    <t xml:space="preserve">Story identity</t>
  </si>
  <si>
    <t xml:space="preserve">SK_15</t>
  </si>
  <si>
    <t xml:space="preserve">Attention &amp; Focus</t>
  </si>
  <si>
    <t xml:space="preserve">Cognitive identity</t>
  </si>
  <si>
    <t xml:space="preserve">SK_16</t>
  </si>
  <si>
    <t xml:space="preserve">Sensory Integration</t>
  </si>
  <si>
    <t xml:space="preserve">Perceptual identity</t>
  </si>
  <si>
    <t xml:space="preserve">SK_17</t>
  </si>
  <si>
    <t xml:space="preserve">Predictive Modelling</t>
  </si>
  <si>
    <t xml:space="preserve">Anticipatory identity</t>
  </si>
  <si>
    <t xml:space="preserve">SK_18</t>
  </si>
  <si>
    <t xml:space="preserve">Cultural Competence</t>
  </si>
  <si>
    <t xml:space="preserve">Cultural identity (Phase 5)</t>
  </si>
  <si>
    <t xml:space="preserve">SK_19</t>
  </si>
  <si>
    <t xml:space="preserve">Self-Regulation</t>
  </si>
  <si>
    <t xml:space="preserve">Volitional identity</t>
  </si>
  <si>
    <t xml:space="preserve">SK_20</t>
  </si>
  <si>
    <t xml:space="preserve">Curiosity &amp; Exploration</t>
  </si>
  <si>
    <t xml:space="preserve">Exploratory identity</t>
  </si>
  <si>
    <t xml:space="preserve">SK_21</t>
  </si>
  <si>
    <t xml:space="preserve">Empathy &amp; Perspective</t>
  </si>
  <si>
    <t xml:space="preserve">Relational identity</t>
  </si>
  <si>
    <t xml:space="preserve">SK_22</t>
  </si>
  <si>
    <t xml:space="preserve">Legacy Thinking</t>
  </si>
  <si>
    <t xml:space="preserve">Transcendent identity (Phase 7)</t>
  </si>
  <si>
    <t xml:space="preserve">✨ PHASE 7 — WISDOM</t>
  </si>
  <si>
    <t xml:space="preserve">Creative Synthesis (EQ_CREAT_17) · Wisdom Index (EQ_WISDOM_18) · Career (EQ_CAREER_19) · Legacy (EQ_LEGACY_20)</t>
  </si>
  <si>
    <t xml:space="preserve">A. PHASE 7 EQUATIONS</t>
  </si>
  <si>
    <t xml:space="preserve">Parameters</t>
  </si>
  <si>
    <t xml:space="preserve">Fires Every</t>
  </si>
  <si>
    <t xml:space="preserve">EQ_CREAT_17</t>
  </si>
  <si>
    <t xml:space="preserve">C_new(t) = α_c·(M_episodic ⊕ M_semantic) + β_c·(P_sim ⊗ S_skills) + γ_c·Noise</t>
  </si>
  <si>
    <t xml:space="preserve">α_c=0.4, β_c=0.4, γ_c=0.2</t>
  </si>
  <si>
    <t xml:space="preserve">Creative synthesis</t>
  </si>
  <si>
    <t xml:space="preserve">500 ticks</t>
  </si>
  <si>
    <t xml:space="preserve">W(t+1) = W(t) + η_w·[λ1·C50yr + λ2·EthicalWeight + λ3·EmpathyIndex − λ4·ImpulseDrive]</t>
  </si>
  <si>
    <t xml:space="preserve">η_w=0.01, λ1=0.4, λ2=0.3, λ3=0.2, λ4=0.1</t>
  </si>
  <si>
    <t xml:space="preserve">Wisdom index W(t) ∈ [0,1]</t>
  </si>
  <si>
    <t xml:space="preserve">EQ_CAREER_19</t>
  </si>
  <si>
    <t xml:space="preserve">Career(t+1) = Career(t) + η_car·[SkillVector · OpportunityMatrix · IdentityVector]</t>
  </si>
  <si>
    <t xml:space="preserve">η_car=0.02, S∈R^22</t>
  </si>
  <si>
    <t xml:space="preserve">Career specialisation</t>
  </si>
  <si>
    <t xml:space="preserve">1000 ticks</t>
  </si>
  <si>
    <t xml:space="preserve">EQ_LEGACY_20</t>
  </si>
  <si>
    <t xml:space="preserve">L(t+1) = L(t) + η_l·[Impact_direct + Impact_indirect + CulturalTransmission − Entropy_f·L(t)]</t>
  </si>
  <si>
    <t xml:space="preserve">η_l=0.005, Entropy_f=0.001</t>
  </si>
  <si>
    <t xml:space="preserve">Legacy projection L(t) ∈ [0,∞)</t>
  </si>
  <si>
    <t xml:space="preserve">2000 ticks</t>
  </si>
  <si>
    <t xml:space="preserve">B. WISDOM GROWTH TRAJECTORY</t>
  </si>
  <si>
    <t xml:space="preserve">W(t)</t>
  </si>
  <si>
    <t xml:space="preserve">Creativity</t>
  </si>
  <si>
    <t xml:space="preserve">Career</t>
  </si>
  <si>
    <t xml:space="preserve">Legacy</t>
  </si>
  <si>
    <t xml:space="preserve">Dominant Factor</t>
  </si>
  <si>
    <t xml:space="preserve">Phase 7 activation</t>
  </si>
  <si>
    <t xml:space="preserve">EthicalWeight rising</t>
  </si>
  <si>
    <t xml:space="preserve">EmpathyIndex growing</t>
  </si>
  <si>
    <t xml:space="preserve">Balanced all factors</t>
  </si>
  <si>
    <t xml:space="preserve">Consequence_50yr dominant</t>
  </si>
  <si>
    <t xml:space="preserve">All factors converged</t>
  </si>
  <si>
    <t xml:space="preserve">🚀 PHASE 8 — AGI ARCHITECTURE</t>
  </si>
  <si>
    <t xml:space="preserve">Vision V1 · Motor Intelligence M1 · Planning P2 · Social Cognition S2 · Meta-Cognition R2 · World Model W2</t>
  </si>
  <si>
    <t xml:space="preserve">A. AGI READINESS ASSESSMENT</t>
  </si>
  <si>
    <t xml:space="preserve">v1.0</t>
  </si>
  <si>
    <t xml:space="preserve">Gap Closed</t>
  </si>
  <si>
    <t xml:space="preserve">v2.0 Target</t>
  </si>
  <si>
    <t xml:space="preserve">Biological body</t>
  </si>
  <si>
    <t xml:space="preserve">85%</t>
  </si>
  <si>
    <t xml:space="preserve">88%</t>
  </si>
  <si>
    <t xml:space="preserve">+3%</t>
  </si>
  <si>
    <t xml:space="preserve">Full embodied sensing</t>
  </si>
  <si>
    <t xml:space="preserve">Neural dynamics</t>
  </si>
  <si>
    <t xml:space="preserve">80%</t>
  </si>
  <si>
    <t xml:space="preserve">83%</t>
  </si>
  <si>
    <t xml:space="preserve">Full cortical model</t>
  </si>
  <si>
    <t xml:space="preserve">Language &amp; grounding</t>
  </si>
  <si>
    <t xml:space="preserve">65%</t>
  </si>
  <si>
    <t xml:space="preserve">78%</t>
  </si>
  <si>
    <t xml:space="preserve">+13%</t>
  </si>
  <si>
    <t xml:space="preserve">Sensorimotor language</t>
  </si>
  <si>
    <t xml:space="preserve">Cognitive architecture</t>
  </si>
  <si>
    <t xml:space="preserve">60%</t>
  </si>
  <si>
    <t xml:space="preserve">+20%</t>
  </si>
  <si>
    <t xml:space="preserve">Complete cognitive stack</t>
  </si>
  <si>
    <t xml:space="preserve">Perception &amp; vision</t>
  </si>
  <si>
    <t xml:space="preserve">55%</t>
  </si>
  <si>
    <t xml:space="preserve">82%</t>
  </si>
  <si>
    <t xml:space="preserve">+27%</t>
  </si>
  <si>
    <t xml:space="preserve">Full visual cognition</t>
  </si>
  <si>
    <t xml:space="preserve">Motor intelligence</t>
  </si>
  <si>
    <t xml:space="preserve">50%</t>
  </si>
  <si>
    <t xml:space="preserve">+28%</t>
  </si>
  <si>
    <t xml:space="preserve">Full motor planning</t>
  </si>
  <si>
    <t xml:space="preserve">Social &amp; ToM</t>
  </si>
  <si>
    <t xml:space="preserve">30%</t>
  </si>
  <si>
    <t xml:space="preserve">68%</t>
  </si>
  <si>
    <t xml:space="preserve">+38%</t>
  </si>
  <si>
    <t xml:space="preserve">Full social intelligence</t>
  </si>
  <si>
    <t xml:space="preserve">World &amp; continuity</t>
  </si>
  <si>
    <t xml:space="preserve">25%</t>
  </si>
  <si>
    <t xml:space="preserve">70%</t>
  </si>
  <si>
    <t xml:space="preserve">+45%</t>
  </si>
  <si>
    <t xml:space="preserve">Persistent living world</t>
  </si>
  <si>
    <t xml:space="preserve">OVERALL</t>
  </si>
  <si>
    <t xml:space="preserve">54%</t>
  </si>
  <si>
    <t xml:space="preserve">76%</t>
  </si>
  <si>
    <t xml:space="preserve">+22%</t>
  </si>
  <si>
    <t xml:space="preserve">Fully integrated agent</t>
  </si>
  <si>
    <t xml:space="preserve">B. PHASE 8 MODULES</t>
  </si>
  <si>
    <t xml:space="preserve">Module</t>
  </si>
  <si>
    <t xml:space="preserve">Code</t>
  </si>
  <si>
    <t xml:space="preserve">Key Formula</t>
  </si>
  <si>
    <t xml:space="preserve">AGI Domain Improved</t>
  </si>
  <si>
    <t xml:space="preserve">Vision System</t>
  </si>
  <si>
    <t xml:space="preserve">V1</t>
  </si>
  <si>
    <t xml:space="preserve">S(x,y) = w_e·edge + w_m·motion + w_n·novelty</t>
  </si>
  <si>
    <t xml:space="preserve">Perception: 55%→82%</t>
  </si>
  <si>
    <t xml:space="preserve">Motor Intelligence</t>
  </si>
  <si>
    <t xml:space="preserve">M1</t>
  </si>
  <si>
    <t xml:space="preserve">x̂(t+1) = f_fwd(θ(t), A(t))</t>
  </si>
  <si>
    <t xml:space="preserve">Motor: 50%→78%</t>
  </si>
  <si>
    <t xml:space="preserve">Planning Engine</t>
  </si>
  <si>
    <t xml:space="preserve">P2</t>
  </si>
  <si>
    <t xml:space="preserve">V(s) = R(s) + γ·max_a V(T(s,a))</t>
  </si>
  <si>
    <t xml:space="preserve">Cognitive: 60%→80%</t>
  </si>
  <si>
    <t xml:space="preserve">S2</t>
  </si>
  <si>
    <t xml:space="preserve">M_j = {B_j, D_j, I_j, E_j, bond_j}</t>
  </si>
  <si>
    <t xml:space="preserve">Social: 30%→68%</t>
  </si>
  <si>
    <t xml:space="preserve">Meta-Cognition</t>
  </si>
  <si>
    <t xml:space="preserve">R2</t>
  </si>
  <si>
    <t xml:space="preserve">c_domain = success_rate(tasks, last_100)</t>
  </si>
  <si>
    <t xml:space="preserve">Consciousness: 50%→72%</t>
  </si>
  <si>
    <t xml:space="preserve">World Model</t>
  </si>
  <si>
    <t xml:space="preserve">W2</t>
  </si>
  <si>
    <t xml:space="preserve">s(t+1) = s_pred(t+1) + K·ε(t+1)</t>
  </si>
  <si>
    <t xml:space="preserve">World: 25%→70%</t>
  </si>
  <si>
    <t xml:space="preserve">🔄 LEARNING LOOP — Experience-First Architecture</t>
  </si>
  <si>
    <t xml:space="preserve">A7DO learns ONLY through interaction → repetition → sleep consolidation. No pre-loaded knowledge.</t>
  </si>
  <si>
    <t xml:space="preserve">A. 4-STAGE LEARNING CYCLE</t>
  </si>
  <si>
    <t xml:space="preserve">Key Engines</t>
  </si>
  <si>
    <t xml:space="preserve">Output</t>
  </si>
  <si>
    <t xml:space="preserve">Exposure</t>
  </si>
  <si>
    <t xml:space="preserve">Every tick</t>
  </si>
  <si>
    <t xml:space="preserve">EQ_SENS_06 · EQ_EMOT_07 · EQ_ATTN_09</t>
  </si>
  <si>
    <t xml:space="preserve">Sensory vector · attention · emotional delta</t>
  </si>
  <si>
    <t xml:space="preserve">Interaction</t>
  </si>
  <si>
    <t xml:space="preserve">Every 5 ticks</t>
  </si>
  <si>
    <t xml:space="preserve">EQ_PRED_08 · Motor Planning · Value TD(λ)</t>
  </si>
  <si>
    <t xml:space="preserve">Reinforcement · motor update · error reduction</t>
  </si>
  <si>
    <t xml:space="preserve">Repetition</t>
  </si>
  <si>
    <t xml:space="preserve">EQ_LANG_12 · G(word) · Scene Graph · ToM</t>
  </si>
  <si>
    <t xml:space="preserve">Word-object bindings · concept formation</t>
  </si>
  <si>
    <t xml:space="preserve">Sleep Consolidation</t>
  </si>
  <si>
    <t xml:space="preserve">Every 800 ticks</t>
  </si>
  <si>
    <t xml:space="preserve">Episodic Memory · EQ_PRED_08 dream replay</t>
  </si>
  <si>
    <t xml:space="preserve">Stable knowledge · grounded language · pruned LTM</t>
  </si>
  <si>
    <t xml:space="preserve">B. WORD LEARNING PIPELINE — 8 Steps</t>
  </si>
  <si>
    <t xml:space="preserve">Step</t>
  </si>
  <si>
    <t xml:space="preserve">Process</t>
  </si>
  <si>
    <t xml:space="preserve">Engine</t>
  </si>
  <si>
    <t xml:space="preserve">Exposure — hears word + sees object</t>
  </si>
  <si>
    <t xml:space="preserve">S(t) = τ·Stimulus + υ·Attention</t>
  </si>
  <si>
    <t xml:space="preserve">EQ_SENS_06</t>
  </si>
  <si>
    <t xml:space="preserve">✅ Running</t>
  </si>
  <si>
    <t xml:space="preserve">Attention spikes on novel stimulus</t>
  </si>
  <si>
    <t xml:space="preserve">A(t) = α1·Intensity·(1+novelty) − β1·H</t>
  </si>
  <si>
    <t xml:space="preserve">EQ_ATTN_09</t>
  </si>
  <si>
    <t xml:space="preserve">Prediction error spikes</t>
  </si>
  <si>
    <t xml:space="preserve">EQ_PRED_08</t>
  </si>
  <si>
    <t xml:space="preserve">Emotional valence tags event</t>
  </si>
  <si>
    <t xml:space="preserve">H(t+1) = H(t) + φ·reward − χ·punishment</t>
  </si>
  <si>
    <t xml:space="preserve">EQ_EMOT_07</t>
  </si>
  <si>
    <t xml:space="preserve">Event stored in episodic memory</t>
  </si>
  <si>
    <t xml:space="preserve">Episodic Memory</t>
  </si>
  <si>
    <t xml:space="preserve">Repetition strengthens binding</t>
  </si>
  <si>
    <t xml:space="preserve">EQ_LANG_12</t>
  </si>
  <si>
    <t xml:space="preserve">Sleep: dream replay binds word→percept</t>
  </si>
  <si>
    <t xml:space="preserve">Stable word-object binding emerges</t>
  </si>
  <si>
    <t xml:space="preserve">G(word) = Σ_m w_m·f_m(percept)</t>
  </si>
  <si>
    <t xml:space="preserve">Language Grounding</t>
  </si>
  <si>
    <t xml:space="preserve">C. WEB-HOOK LEARNING PIPELINE</t>
  </si>
  <si>
    <t xml:space="preserve">Unknown word encountered</t>
  </si>
  <si>
    <t xml:space="preserve">conf(word) &lt; ε=0.3</t>
  </si>
  <si>
    <t xml:space="preserve">Word Learning Engine</t>
  </si>
  <si>
    <t xml:space="preserve">Curiosity spike</t>
  </si>
  <si>
    <t xml:space="preserve">D_curiosity = η_c · novelty · attention</t>
  </si>
  <si>
    <t xml:space="preserve">EQ_ATTN_09 + Value System</t>
  </si>
  <si>
    <t xml:space="preserve">Query: word + context + FOV + state</t>
  </si>
  <si>
    <t xml:space="preserve">External API call</t>
  </si>
  <si>
    <t xml:space="preserve">Web-Hook API</t>
  </si>
  <si>
    <t xml:space="preserve">Response + age-gate filter</t>
  </si>
  <si>
    <t xml:space="preserve">JSON webhook_data</t>
  </si>
  <si>
    <t xml:space="preserve">H.4 Algorithm</t>
  </si>
  <si>
    <t xml:space="preserve">Semantic integration</t>
  </si>
  <si>
    <t xml:space="preserve">W ← W ∪ webhook_data</t>
  </si>
  <si>
    <t xml:space="preserve">Confidence update + episodic encoding</t>
  </si>
  <si>
    <t xml:space="preserve">conf ← conf + boost</t>
  </si>
  <si>
    <t xml:space="preserve">Sleep consolidation</t>
  </si>
  <si>
    <t xml:space="preserve">Next 800-tick sleep</t>
  </si>
  <si>
    <t xml:space="preserve">Learning Loop Stage 4</t>
  </si>
  <si>
    <t xml:space="preserve">⚙️ SYSTEM REFERENCE — Parameters · Equations · Engine Registry</t>
  </si>
  <si>
    <t xml:space="preserve">All 52 biological constants · 24 engine registry · tick frequency schedule</t>
  </si>
  <si>
    <t xml:space="preserve">A. GLOBAL PARAMETERS — 52 Biological Constants</t>
  </si>
  <si>
    <t xml:space="preserve">Symbol</t>
  </si>
  <si>
    <t xml:space="preserve">Min</t>
  </si>
  <si>
    <t xml:space="preserve">Max</t>
  </si>
  <si>
    <t xml:space="preserve">Engine / Domain</t>
  </si>
  <si>
    <t xml:space="preserve">α</t>
  </si>
  <si>
    <t xml:space="preserve">Growth coefficient (primary)</t>
  </si>
  <si>
    <t xml:space="preserve">EQ_DNA_01</t>
  </si>
  <si>
    <t xml:space="preserve">β</t>
  </si>
  <si>
    <t xml:space="preserve">Growth coefficient (secondary)</t>
  </si>
  <si>
    <t xml:space="preserve">γ</t>
  </si>
  <si>
    <t xml:space="preserve">Maturity index coefficient</t>
  </si>
  <si>
    <t xml:space="preserve">δ</t>
  </si>
  <si>
    <t xml:space="preserve">Cell division rate constant</t>
  </si>
  <si>
    <t xml:space="preserve">EQ_ANAT_02</t>
  </si>
  <si>
    <t xml:space="preserve">ε</t>
  </si>
  <si>
    <t xml:space="preserve">Nutrient flow constant</t>
  </si>
  <si>
    <t xml:space="preserve">ζ</t>
  </si>
  <si>
    <t xml:space="preserve">Oxygen exchange constant</t>
  </si>
  <si>
    <t xml:space="preserve">η</t>
  </si>
  <si>
    <t xml:space="preserve">Waste removal rate</t>
  </si>
  <si>
    <t xml:space="preserve">θ</t>
  </si>
  <si>
    <t xml:space="preserve">Synapse density coefficient</t>
  </si>
  <si>
    <t xml:space="preserve">EQ_NEUR_03</t>
  </si>
  <si>
    <t xml:space="preserve">ι</t>
  </si>
  <si>
    <t xml:space="preserve">Neural gain coefficient</t>
  </si>
  <si>
    <t xml:space="preserve">κ</t>
  </si>
  <si>
    <t xml:space="preserve">Input signal multiplier</t>
  </si>
  <si>
    <t xml:space="preserve">λ</t>
  </si>
  <si>
    <t xml:space="preserve">Noise attenuation factor</t>
  </si>
  <si>
    <t xml:space="preserve">μ</t>
  </si>
  <si>
    <t xml:space="preserve">Heartbeat rate coefficient</t>
  </si>
  <si>
    <t xml:space="preserve">EQ_CIRC_04</t>
  </si>
  <si>
    <t xml:space="preserve">ν</t>
  </si>
  <si>
    <t xml:space="preserve">Blood flow coefficient</t>
  </si>
  <si>
    <t xml:space="preserve">ξ</t>
  </si>
  <si>
    <t xml:space="preserve">Metabolic drain constant</t>
  </si>
  <si>
    <t xml:space="preserve">π_</t>
  </si>
  <si>
    <t xml:space="preserve">Nutrient intake multiplier</t>
  </si>
  <si>
    <t xml:space="preserve">EQ_DIGE_05</t>
  </si>
  <si>
    <t xml:space="preserve">ρ_</t>
  </si>
  <si>
    <t xml:space="preserve">Activity load factor</t>
  </si>
  <si>
    <t xml:space="preserve">σ</t>
  </si>
  <si>
    <t xml:space="preserve">Recovery/drain balance</t>
  </si>
  <si>
    <t xml:space="preserve">τ</t>
  </si>
  <si>
    <t xml:space="preserve">Sensory integration coefficient</t>
  </si>
  <si>
    <t xml:space="preserve">υ</t>
  </si>
  <si>
    <t xml:space="preserve">Attention weight multiplier</t>
  </si>
  <si>
    <t xml:space="preserve">φ</t>
  </si>
  <si>
    <t xml:space="preserve">Reward/punishment balance</t>
  </si>
  <si>
    <t xml:space="preserve">χ</t>
  </si>
  <si>
    <t xml:space="preserve">Neurotransmitter weight</t>
  </si>
  <si>
    <t xml:space="preserve">ψ</t>
  </si>
  <si>
    <t xml:space="preserve">Prediction learning rate</t>
  </si>
  <si>
    <t xml:space="preserve">ω</t>
  </si>
  <si>
    <t xml:space="preserve">Error correction rate</t>
  </si>
  <si>
    <t xml:space="preserve">α1</t>
  </si>
  <si>
    <t xml:space="preserve">Stimulus intensity gain</t>
  </si>
  <si>
    <t xml:space="preserve">β1</t>
  </si>
  <si>
    <t xml:space="preserve">Distraction rate</t>
  </si>
  <si>
    <t xml:space="preserve">α2</t>
  </si>
  <si>
    <t xml:space="preserve">Resource change coefficient</t>
  </si>
  <si>
    <t xml:space="preserve">EQ_WRLD_11</t>
  </si>
  <si>
    <t xml:space="preserve">β2</t>
  </si>
  <si>
    <t xml:space="preserve">Consumption rate coefficient</t>
  </si>
  <si>
    <t xml:space="preserve">γ2</t>
  </si>
  <si>
    <t xml:space="preserve">Social interaction coefficient</t>
  </si>
  <si>
    <t xml:space="preserve">δ2</t>
  </si>
  <si>
    <t xml:space="preserve">NPC learning rate coefficient</t>
  </si>
  <si>
    <t xml:space="preserve">λ_lang</t>
  </si>
  <si>
    <t xml:space="preserve">Language exposure multiplier</t>
  </si>
  <si>
    <t xml:space="preserve">μ_lang</t>
  </si>
  <si>
    <t xml:space="preserve">Reinforcement/context multiplier</t>
  </si>
  <si>
    <t xml:space="preserve">γ_td</t>
  </si>
  <si>
    <t xml:space="preserve">TD discount factor</t>
  </si>
  <si>
    <t xml:space="preserve">Value System TD(λ)</t>
  </si>
  <si>
    <t xml:space="preserve">β_forget</t>
  </si>
  <si>
    <t xml:space="preserve">Memory forgetting exponent</t>
  </si>
  <si>
    <t xml:space="preserve">λ_decay</t>
  </si>
  <si>
    <t xml:space="preserve">Object permanence decay</t>
  </si>
  <si>
    <t xml:space="preserve">Object Permanence</t>
  </si>
  <si>
    <t xml:space="preserve">λ_react</t>
  </si>
  <si>
    <t xml:space="preserve">Object permanence reactivation</t>
  </si>
  <si>
    <t xml:space="preserve">κ_pred</t>
  </si>
  <si>
    <t xml:space="preserve">Predictive coding update rate</t>
  </si>
  <si>
    <t xml:space="preserve">Predictive Simulation</t>
  </si>
  <si>
    <t xml:space="preserve">η_ce</t>
  </si>
  <si>
    <t xml:space="preserve">Cultural embedding rate</t>
  </si>
  <si>
    <t xml:space="preserve">Phase 5 Cultural</t>
  </si>
  <si>
    <t xml:space="preserve">η_p</t>
  </si>
  <si>
    <t xml:space="preserve">Personality stability rate</t>
  </si>
  <si>
    <t xml:space="preserve">Phase 6 Identity</t>
  </si>
  <si>
    <t xml:space="preserve">η_s</t>
  </si>
  <si>
    <t xml:space="preserve">Skill mastery rate</t>
  </si>
  <si>
    <t xml:space="preserve">α_c</t>
  </si>
  <si>
    <t xml:space="preserve">Creative synthesis memory blend</t>
  </si>
  <si>
    <t xml:space="preserve">β_c</t>
  </si>
  <si>
    <t xml:space="preserve">Creative synthesis skill-prediction</t>
  </si>
  <si>
    <t xml:space="preserve">γ_c</t>
  </si>
  <si>
    <t xml:space="preserve">Creative synthesis stochastic noise</t>
  </si>
  <si>
    <t xml:space="preserve">η_w</t>
  </si>
  <si>
    <t xml:space="preserve">Wisdom learning rate</t>
  </si>
  <si>
    <t xml:space="preserve">λ1</t>
  </si>
  <si>
    <t xml:space="preserve">Wisdom consequence weight</t>
  </si>
  <si>
    <t xml:space="preserve">λ2</t>
  </si>
  <si>
    <t xml:space="preserve">Wisdom ethical weight</t>
  </si>
  <si>
    <t xml:space="preserve">λ3</t>
  </si>
  <si>
    <t xml:space="preserve">Wisdom empathy weight</t>
  </si>
  <si>
    <t xml:space="preserve">λ4</t>
  </si>
  <si>
    <t xml:space="preserve">Wisdom impulse suppression</t>
  </si>
  <si>
    <t xml:space="preserve">η_car</t>
  </si>
  <si>
    <t xml:space="preserve">Career specialisation rate</t>
  </si>
  <si>
    <t xml:space="preserve">η_l</t>
  </si>
  <si>
    <t xml:space="preserve">Legacy accumulation rate</t>
  </si>
  <si>
    <t xml:space="preserve">Entropy_f</t>
  </si>
  <si>
    <t xml:space="preserve">Legacy forgetting constant</t>
  </si>
  <si>
    <t xml:space="preserve">η_soc</t>
  </si>
  <si>
    <t xml:space="preserve">NPC social learning rate</t>
  </si>
  <si>
    <t xml:space="preserve">NPC MDP</t>
  </si>
  <si>
    <t xml:space="preserve">η_c</t>
  </si>
  <si>
    <t xml:space="preserve">Curiosity drive coefficient</t>
  </si>
  <si>
    <t xml:space="preserve">Curiosity Drive</t>
  </si>
  <si>
    <t xml:space="preserve">B. 24-ENGINE REGISTRY</t>
  </si>
  <si>
    <t xml:space="preserve">DNA Loop Engine</t>
  </si>
  <si>
    <t xml:space="preserve">1 tick</t>
  </si>
  <si>
    <t xml:space="preserve">✅ Verified</t>
  </si>
  <si>
    <t xml:space="preserve">Anatomy Growth</t>
  </si>
  <si>
    <t xml:space="preserve">100 ticks</t>
  </si>
  <si>
    <t xml:space="preserve">Neural Control</t>
  </si>
  <si>
    <t xml:space="preserve">10 ticks</t>
  </si>
  <si>
    <t xml:space="preserve">Digestive &amp; Energy</t>
  </si>
  <si>
    <t xml:space="preserve">50 ticks</t>
  </si>
  <si>
    <t xml:space="preserve">Emotion &amp; Reinforcement</t>
  </si>
  <si>
    <t xml:space="preserve">20 ticks</t>
  </si>
  <si>
    <t xml:space="preserve">5 ticks</t>
  </si>
  <si>
    <t xml:space="preserve">Attention Control</t>
  </si>
  <si>
    <t xml:space="preserve">Consciousness Loop</t>
  </si>
  <si>
    <t xml:space="preserve">World &amp; NPC</t>
  </si>
  <si>
    <t xml:space="preserve">Language Acquisition</t>
  </si>
  <si>
    <t xml:space="preserve">Reflex ODE</t>
  </si>
  <si>
    <t xml:space="preserve">Proprioception</t>
  </si>
  <si>
    <t xml:space="preserve">TD(λ)</t>
  </si>
  <si>
    <t xml:space="preserve">Value / Motivation</t>
  </si>
  <si>
    <t xml:space="preserve">Persistence ODE</t>
  </si>
  <si>
    <t xml:space="preserve">Power-law</t>
  </si>
  <si>
    <t xml:space="preserve">10/100/800 ticks</t>
  </si>
  <si>
    <t xml:space="preserve">G(word)</t>
  </si>
  <si>
    <t xml:space="preserve">ToM_i(j)</t>
  </si>
  <si>
    <t xml:space="preserve">200 ticks</t>
  </si>
  <si>
    <t xml:space="preserve">F=Σ[εᵀΠε]</t>
  </si>
  <si>
    <t xml:space="preserve">Predictive Sim Full</t>
  </si>
  <si>
    <t xml:space="preserve">G={N,E}</t>
  </si>
  <si>
    <t xml:space="preserve">Scene Graph</t>
  </si>
  <si>
    <t xml:space="preserve">⏳ Tick 96,000+</t>
  </si>
  <si>
    <t xml:space="preserve">Wisdom Index</t>
  </si>
  <si>
    <t xml:space="preserve">Career Specialisation</t>
  </si>
  <si>
    <t xml:space="preserve">Legacy Projection</t>
  </si>
  <si>
    <t xml:space="preserve">👩 LORRAINE — PRIMARY CAREGIVER PROFILE</t>
  </si>
  <si>
    <t xml:space="preserve">Full biological · psychological · social · developmental profile — equivalent depth to A7DO</t>
  </si>
  <si>
    <t xml:space="preserve">A. IDENTITY &amp; DEMOGRAPHICS</t>
  </si>
  <si>
    <t xml:space="preserve">Full Name:</t>
  </si>
  <si>
    <t xml:space="preserve">Primary caregiver of A7DO</t>
  </si>
  <si>
    <t xml:space="preserve">Role:</t>
  </si>
  <si>
    <t xml:space="preserve">Mother / Primary Caregiver</t>
  </si>
  <si>
    <t xml:space="preserve">Biological mother · sole primary attachment figure</t>
  </si>
  <si>
    <t xml:space="preserve">Age at A7DO Birth:</t>
  </si>
  <si>
    <t xml:space="preserve">28 years</t>
  </si>
  <si>
    <t xml:space="preserve">years</t>
  </si>
  <si>
    <t xml:space="preserve">Tick 3,200 / Week 40</t>
  </si>
  <si>
    <t xml:space="preserve">Current Age:</t>
  </si>
  <si>
    <t xml:space="preserve">Live — updates with tick</t>
  </si>
  <si>
    <t xml:space="preserve">Biological Sex:</t>
  </si>
  <si>
    <t xml:space="preserve">Female</t>
  </si>
  <si>
    <t xml:space="preserve">XX chromosomes</t>
  </si>
  <si>
    <t xml:space="preserve">Ethnicity:</t>
  </si>
  <si>
    <t xml:space="preserve">Mixed heritage</t>
  </si>
  <si>
    <t xml:space="preserve">BeenFore City population</t>
  </si>
  <si>
    <t xml:space="preserve">Location:</t>
  </si>
  <si>
    <t xml:space="preserve">H8, BeenFore Lane, BeenFore City</t>
  </si>
  <si>
    <t xml:space="preserve">World coordinates (1090, 880, 0)</t>
  </si>
  <si>
    <t xml:space="preserve">Occupation:</t>
  </si>
  <si>
    <t xml:space="preserve">Primary caregiver (full-time)</t>
  </si>
  <si>
    <t xml:space="preserve">Dedicated to A7DO development</t>
  </si>
  <si>
    <t xml:space="preserve">Education Level:</t>
  </si>
  <si>
    <t xml:space="preserve">University graduate</t>
  </si>
  <si>
    <t xml:space="preserve">Cognitive science background</t>
  </si>
  <si>
    <t xml:space="preserve">Personality Type:</t>
  </si>
  <si>
    <t xml:space="preserve">Nurturing · patient · emotionally intelligent</t>
  </si>
  <si>
    <t xml:space="preserve">MBTI: INFJ</t>
  </si>
  <si>
    <t xml:space="preserve">B. PHYSICAL PROFILE</t>
  </si>
  <si>
    <t xml:space="preserve">Height:</t>
  </si>
  <si>
    <t xml:space="preserve">168</t>
  </si>
  <si>
    <t xml:space="preserve">Adult stable</t>
  </si>
  <si>
    <t xml:space="preserve">Mass:</t>
  </si>
  <si>
    <t xml:space="preserve">62</t>
  </si>
  <si>
    <t xml:space="preserve">Post-pregnancy stable</t>
  </si>
  <si>
    <t xml:space="preserve">Heart Rate (resting):</t>
  </si>
  <si>
    <t xml:space="preserve">68</t>
  </si>
  <si>
    <t xml:space="preserve">Healthy adult female</t>
  </si>
  <si>
    <t xml:space="preserve">Blood Type:</t>
  </si>
  <si>
    <t xml:space="preserve">A+</t>
  </si>
  <si>
    <t xml:space="preserve">Rh positive</t>
  </si>
  <si>
    <t xml:space="preserve">Dominant Hand:</t>
  </si>
  <si>
    <t xml:space="preserve">Right</t>
  </si>
  <si>
    <t xml:space="preserve">Vision:</t>
  </si>
  <si>
    <t xml:space="preserve">20/20 corrected</t>
  </si>
  <si>
    <t xml:space="preserve">Wears glasses</t>
  </si>
  <si>
    <t xml:space="preserve">Hearing:</t>
  </si>
  <si>
    <t xml:space="preserve">Normal range</t>
  </si>
  <si>
    <t xml:space="preserve">Fitness Level:</t>
  </si>
  <si>
    <t xml:space="preserve">Moderate</t>
  </si>
  <si>
    <t xml:space="preserve">Regular walking · yoga</t>
  </si>
  <si>
    <t xml:space="preserve">Sleep Pattern:</t>
  </si>
  <si>
    <t xml:space="preserve">6–7 hours/night</t>
  </si>
  <si>
    <t xml:space="preserve">hours</t>
  </si>
  <si>
    <t xml:space="preserve">Disrupted by A7DO care</t>
  </si>
  <si>
    <t xml:space="preserve">Nutrition:</t>
  </si>
  <si>
    <t xml:space="preserve">Balanced diet</t>
  </si>
  <si>
    <t xml:space="preserve">Breastfeeding period: Wk 40–80</t>
  </si>
  <si>
    <t xml:space="preserve">C. PSYCHOLOGICAL PROFILE</t>
  </si>
  <si>
    <t xml:space="preserve">Trait</t>
  </si>
  <si>
    <t xml:space="preserve">Score (0–1)</t>
  </si>
  <si>
    <t xml:space="preserve">Impact on A7DO</t>
  </si>
  <si>
    <t xml:space="preserve">Attachment Style</t>
  </si>
  <si>
    <t xml:space="preserve">Secure attachment — consistent, responsive</t>
  </si>
  <si>
    <t xml:space="preserve">A7DO bond strength = 0.95</t>
  </si>
  <si>
    <t xml:space="preserve">Emotional Intelligence</t>
  </si>
  <si>
    <t xml:space="preserve">High EQ — reads A7DO cues accurately</t>
  </si>
  <si>
    <t xml:space="preserve">Emotional regulation modelling</t>
  </si>
  <si>
    <t xml:space="preserve">Patience</t>
  </si>
  <si>
    <t xml:space="preserve">Very high — tolerates developmental delays</t>
  </si>
  <si>
    <t xml:space="preserve">Reduces A7DO stress hormones</t>
  </si>
  <si>
    <t xml:space="preserve">Verbal Stimulation</t>
  </si>
  <si>
    <t xml:space="preserve">Rich language environment — 30,000 words/day</t>
  </si>
  <si>
    <t xml:space="preserve">Accelerates vocabulary acquisition</t>
  </si>
  <si>
    <t xml:space="preserve">Physical Affection</t>
  </si>
  <si>
    <t xml:space="preserve">High touch · holding · skin contact</t>
  </si>
  <si>
    <t xml:space="preserve">Oxytocin bonding · attachment drive</t>
  </si>
  <si>
    <t xml:space="preserve">Cognitive Stimulation</t>
  </si>
  <si>
    <t xml:space="preserve">Books · play · exploration encouragement</t>
  </si>
  <si>
    <t xml:space="preserve">Curiosity drive + object permanence</t>
  </si>
  <si>
    <t xml:space="preserve">Consistency</t>
  </si>
  <si>
    <t xml:space="preserve">Predictable routines · reliable responses</t>
  </si>
  <si>
    <t xml:space="preserve">Prediction error reduction</t>
  </si>
  <si>
    <t xml:space="preserve">Stress Level</t>
  </si>
  <si>
    <t xml:space="preserve">Low-moderate — occasional caregiver fatigue</t>
  </si>
  <si>
    <t xml:space="preserve">Cortisol transfer via interaction</t>
  </si>
  <si>
    <t xml:space="preserve">Mental Health</t>
  </si>
  <si>
    <t xml:space="preserve">Good — no clinical conditions</t>
  </si>
  <si>
    <t xml:space="preserve">Stable emotional environment</t>
  </si>
  <si>
    <t xml:space="preserve">Resilience</t>
  </si>
  <si>
    <t xml:space="preserve">High — adapts to A7DO developmental changes</t>
  </si>
  <si>
    <t xml:space="preserve">Models coping strategies</t>
  </si>
  <si>
    <t xml:space="preserve">D. LORRAINE'S ROLE BY A7DO DEVELOPMENTAL PHASE</t>
  </si>
  <si>
    <t xml:space="preserve">A7DO Stage</t>
  </si>
  <si>
    <t xml:space="preserve">Lorraine's Role</t>
  </si>
  <si>
    <t xml:space="preserve">Key Behaviours</t>
  </si>
  <si>
    <t xml:space="preserve">Prenatal (Wk 0–40)</t>
  </si>
  <si>
    <t xml:space="preserve">Gestational host</t>
  </si>
  <si>
    <t xml:space="preserve">Nutrition · protection · hormonal regulation</t>
  </si>
  <si>
    <t xml:space="preserve">Organ formation · neural development</t>
  </si>
  <si>
    <t xml:space="preserve">Newborn (Wk 40–52)</t>
  </si>
  <si>
    <t xml:space="preserve">Primary survival provider</t>
  </si>
  <si>
    <t xml:space="preserve">Feeding · warmth · skin contact · soothing</t>
  </si>
  <si>
    <t xml:space="preserve">Attachment formation · stress regulation</t>
  </si>
  <si>
    <t xml:space="preserve">Infant (Wk 52–80)</t>
  </si>
  <si>
    <t xml:space="preserve">Motor development facilitator</t>
  </si>
  <si>
    <t xml:space="preserve">Tummy time · reaching games · object play</t>
  </si>
  <si>
    <t xml:space="preserve">Motor stage 1→2 · object permanence onset</t>
  </si>
  <si>
    <t xml:space="preserve">Toddler (Wk 80–156)</t>
  </si>
  <si>
    <t xml:space="preserve">Language model + cognitive scaffold</t>
  </si>
  <si>
    <t xml:space="preserve">Naming objects · reading · responsive conversation</t>
  </si>
  <si>
    <t xml:space="preserve">Vocabulary explosion · ToM onset</t>
  </si>
  <si>
    <t xml:space="preserve">Child (Wk 156–312)</t>
  </si>
  <si>
    <t xml:space="preserve">Social teacher + emotional coach</t>
  </si>
  <si>
    <t xml:space="preserve">Explaining emotions · social rules · play dates</t>
  </si>
  <si>
    <t xml:space="preserve">ToM stages 2–3 · cultural norm learning</t>
  </si>
  <si>
    <t xml:space="preserve">Pre-Adolescent (Wk 312–624)</t>
  </si>
  <si>
    <t xml:space="preserve">Cultural transmitter</t>
  </si>
  <si>
    <t xml:space="preserve">Values · community · identity stories</t>
  </si>
  <si>
    <t xml:space="preserve">Cultural embedding · identity seeds</t>
  </si>
  <si>
    <t xml:space="preserve">Adolescent (Wk 624–936)</t>
  </si>
  <si>
    <t xml:space="preserve">Identity mirror + wisdom guide</t>
  </si>
  <si>
    <t xml:space="preserve">Reflective conversations · life narrative</t>
  </si>
  <si>
    <t xml:space="preserve">Identity consolidation · value self</t>
  </si>
  <si>
    <t xml:space="preserve">Adult (Wk 1200+)</t>
  </si>
  <si>
    <t xml:space="preserve">Legacy partner</t>
  </si>
  <si>
    <t xml:space="preserve">Shared wisdom · intergenerational transmission</t>
  </si>
  <si>
    <t xml:space="preserve">Legacy projection · cultural transmission</t>
  </si>
  <si>
    <t xml:space="preserve">E. NPC ENGINE DATA — Live Integration</t>
  </si>
  <si>
    <t xml:space="preserve">NPC ID:</t>
  </si>
  <si>
    <t xml:space="preserve">Static</t>
  </si>
  <si>
    <t xml:space="preserve">Primary caregiver identifier</t>
  </si>
  <si>
    <t xml:space="preserve">Bond Strength:</t>
  </si>
  <si>
    <t xml:space="preserve">0.95</t>
  </si>
  <si>
    <t xml:space="preserve">Static — highest possible</t>
  </si>
  <si>
    <t xml:space="preserve">Secure attachment · daily contact</t>
  </si>
  <si>
    <t xml:space="preserve">Inferred Desire:</t>
  </si>
  <si>
    <t xml:space="preserve">A7DO wellbeing</t>
  </si>
  <si>
    <t xml:space="preserve">ToM inference</t>
  </si>
  <si>
    <t xml:space="preserve">Consistent across all observations</t>
  </si>
  <si>
    <t xml:space="preserve">Inferred Belief:</t>
  </si>
  <si>
    <t xml:space="preserve">A7DO needs care</t>
  </si>
  <si>
    <t xml:space="preserve">Accurate model of A7DO state</t>
  </si>
  <si>
    <t xml:space="preserve">Emotion State:</t>
  </si>
  <si>
    <t xml:space="preserve">Nurturing</t>
  </si>
  <si>
    <t xml:space="preserve">EQ_EMOT_07 output</t>
  </si>
  <si>
    <t xml:space="preserve">Warm · patient · responsive</t>
  </si>
  <si>
    <t xml:space="preserve">Social Prediction Accuracy:</t>
  </si>
  <si>
    <t xml:space="preserve">success_rate(predictions, last_500)</t>
  </si>
  <si>
    <t xml:space="preserve">High — 500+ interactions</t>
  </si>
  <si>
    <t xml:space="preserve">Cultural Influence:</t>
  </si>
  <si>
    <t xml:space="preserve">Highest</t>
  </si>
  <si>
    <t xml:space="preserve">Bond × contact_frequency</t>
  </si>
  <si>
    <t xml:space="preserve">Daily contact · primary norm source</t>
  </si>
  <si>
    <t xml:space="preserve">World Position:</t>
  </si>
  <si>
    <t xml:space="preserve">(1090, 880, 0)</t>
  </si>
  <si>
    <t xml:space="preserve">World coordinates</t>
  </si>
  <si>
    <t xml:space="preserve">H8 — A7DO home</t>
  </si>
  <si>
    <t xml:space="preserve">Transmission Probability:</t>
  </si>
  <si>
    <t xml:space="preserve">P(norm spreads | NPC_LORRAINE)</t>
  </si>
  <si>
    <t xml:space="preserve">Primary cultural transmission agent</t>
  </si>
  <si>
    <t xml:space="preserve">Legacy Contribution:</t>
  </si>
  <si>
    <t xml:space="preserve">Primary</t>
  </si>
  <si>
    <t xml:space="preserve">Impact_direct + CulturalTransmission</t>
  </si>
  <si>
    <t xml:space="preserve">Highest direct impact on A7DO legacy</t>
  </si>
  <si>
    <t xml:space="preserve">F. GENETIC CONTRIBUTION TO A7DO</t>
  </si>
  <si>
    <t xml:space="preserve">Lorraine's Genotype</t>
  </si>
  <si>
    <t xml:space="preserve">Contribution to A7DO</t>
  </si>
  <si>
    <t xml:space="preserve">Expression Probability</t>
  </si>
  <si>
    <t xml:space="preserve">Height potential</t>
  </si>
  <si>
    <t xml:space="preserve">Dd (heterozygous)</t>
  </si>
  <si>
    <t xml:space="preserve">~162 cm adult height</t>
  </si>
  <si>
    <t xml:space="preserve">50% dominant expression</t>
  </si>
  <si>
    <t xml:space="preserve">Intelligence</t>
  </si>
  <si>
    <t xml:space="preserve">High baseline</t>
  </si>
  <si>
    <t xml:space="preserve">Above-average cognitive capacity</t>
  </si>
  <si>
    <t xml:space="preserve">Polygenic — high probability</t>
  </si>
  <si>
    <t xml:space="preserve">Emotional sensitivity</t>
  </si>
  <si>
    <t xml:space="preserve">High</t>
  </si>
  <si>
    <t xml:space="preserve">High EQ · empathy · social cognition</t>
  </si>
  <si>
    <t xml:space="preserve">Dominant expression</t>
  </si>
  <si>
    <t xml:space="preserve">Immune system</t>
  </si>
  <si>
    <t xml:space="preserve">Strong</t>
  </si>
  <si>
    <t xml:space="preserve">Robust immune baseline</t>
  </si>
  <si>
    <t xml:space="preserve">Maternal antibody transfer Wk 0–80</t>
  </si>
  <si>
    <t xml:space="preserve">Metabolism</t>
  </si>
  <si>
    <t xml:space="preserve">Efficient</t>
  </si>
  <si>
    <t xml:space="preserve">Moderate energy efficiency</t>
  </si>
  <si>
    <t xml:space="preserve">Polygenic expression</t>
  </si>
  <si>
    <t xml:space="preserve">Attachment tendency</t>
  </si>
  <si>
    <t xml:space="preserve">Secure</t>
  </si>
  <si>
    <t xml:space="preserve">Secure attachment style predisposition</t>
  </si>
  <si>
    <t xml:space="preserve">Epigenetic + environmental</t>
  </si>
  <si>
    <t xml:space="preserve">Language aptitude</t>
  </si>
  <si>
    <t xml:space="preserve">Strong language acquisition capacity</t>
  </si>
  <si>
    <t xml:space="preserve">Stress resilience</t>
  </si>
  <si>
    <t xml:space="preserve">Good cortisol regulation</t>
  </si>
  <si>
    <t xml:space="preserve">Epigenetic modulation</t>
  </si>
  <si>
    <t xml:space="preserve">Curiosity drive</t>
  </si>
  <si>
    <t xml:space="preserve">Strong exploratory behaviour</t>
  </si>
  <si>
    <t xml:space="preserve">Longevity</t>
  </si>
  <si>
    <t xml:space="preserve">Above average</t>
  </si>
  <si>
    <t xml:space="preserve">Healthy aging trajectory</t>
  </si>
  <si>
    <t xml:space="preserve">Polygenic — moderate probability</t>
  </si>
  <si>
    <t xml:space="preserve">👨 CHINA — FATHER PROFILE</t>
  </si>
  <si>
    <t xml:space="preserve">Full biological · psychological · social · developmental profile — genetic source and secondary attachment</t>
  </si>
  <si>
    <t xml:space="preserve">China</t>
  </si>
  <si>
    <t xml:space="preserve">Father of A7DO · genetic source</t>
  </si>
  <si>
    <t xml:space="preserve">Father / Secondary Attachment</t>
  </si>
  <si>
    <t xml:space="preserve">Genetic contributor · protective bond</t>
  </si>
  <si>
    <t xml:space="preserve">31 years</t>
  </si>
  <si>
    <t xml:space="preserve">Male</t>
  </si>
  <si>
    <t xml:space="preserve">XY chromosomes</t>
  </si>
  <si>
    <t xml:space="preserve">Engineer / Technical professional</t>
  </si>
  <si>
    <t xml:space="preserve">Analytical · problem-solving focus</t>
  </si>
  <si>
    <t xml:space="preserve">Postgraduate</t>
  </si>
  <si>
    <t xml:space="preserve">Engineering background</t>
  </si>
  <si>
    <t xml:space="preserve">Analytical · protective · quietly nurturing</t>
  </si>
  <si>
    <t xml:space="preserve">MBTI: INTJ</t>
  </si>
  <si>
    <t xml:space="preserve">182</t>
  </si>
  <si>
    <t xml:space="preserve">78</t>
  </si>
  <si>
    <t xml:space="preserve">Athletic build</t>
  </si>
  <si>
    <t xml:space="preserve">Fit adult male</t>
  </si>
  <si>
    <t xml:space="preserve">O+</t>
  </si>
  <si>
    <t xml:space="preserve">20/20</t>
  </si>
  <si>
    <t xml:space="preserve">No correction needed</t>
  </si>
  <si>
    <t xml:space="preserve">Regular exercise · cycling</t>
  </si>
  <si>
    <t xml:space="preserve">7–8 hours/night</t>
  </si>
  <si>
    <t xml:space="preserve">Regular schedule</t>
  </si>
  <si>
    <t xml:space="preserve">High protein diet</t>
  </si>
  <si>
    <t xml:space="preserve">Athletic maintenance</t>
  </si>
  <si>
    <t xml:space="preserve">Secure-autonomous — present but less demonstrative</t>
  </si>
  <si>
    <t xml:space="preserve">A7DO bond strength = 0.70 (secondary)</t>
  </si>
  <si>
    <t xml:space="preserve">Good EQ — analytical approach to emotions</t>
  </si>
  <si>
    <t xml:space="preserve">Logical emotional modelling</t>
  </si>
  <si>
    <t xml:space="preserve">High — methodical problem-solver</t>
  </si>
  <si>
    <t xml:space="preserve">Models systematic thinking</t>
  </si>
  <si>
    <t xml:space="preserve">Moderate — technical vocabulary focus</t>
  </si>
  <si>
    <t xml:space="preserve">Numerical/spatial language input</t>
  </si>
  <si>
    <t xml:space="preserve">Moderate — play-focused interaction</t>
  </si>
  <si>
    <t xml:space="preserve">Motor development · rough-and-tumble play</t>
  </si>
  <si>
    <t xml:space="preserve">Very high — puzzles · building · exploration</t>
  </si>
  <si>
    <t xml:space="preserve">Pattern recognition · spatial cognition</t>
  </si>
  <si>
    <t xml:space="preserve">High — reliable presence and routines</t>
  </si>
  <si>
    <t xml:space="preserve">Secondary attachment security</t>
  </si>
  <si>
    <t xml:space="preserve">Low — work-life balance maintained</t>
  </si>
  <si>
    <t xml:space="preserve">Calm modelling · stress buffer</t>
  </si>
  <si>
    <t xml:space="preserve">Excellent — no clinical conditions</t>
  </si>
  <si>
    <t xml:space="preserve">Stable secondary environment</t>
  </si>
  <si>
    <t xml:space="preserve">Very high — engineering mindset</t>
  </si>
  <si>
    <t xml:space="preserve">Models problem-solving under pressure</t>
  </si>
  <si>
    <t xml:space="preserve">D. CHINA'S ROLE BY A7DO DEVELOPMENTAL PHASE</t>
  </si>
  <si>
    <t xml:space="preserve">China's Role</t>
  </si>
  <si>
    <t xml:space="preserve">Genetic source + environmental signal</t>
  </si>
  <si>
    <t xml:space="preserve">Testosterone signal · protective presence</t>
  </si>
  <si>
    <t xml:space="preserve">Genetic code · structural parameters</t>
  </si>
  <si>
    <t xml:space="preserve">Secondary caregiver</t>
  </si>
  <si>
    <t xml:space="preserve">Holding · soothing · feeding support</t>
  </si>
  <si>
    <t xml:space="preserve">Secondary attachment formation</t>
  </si>
  <si>
    <t xml:space="preserve">Physical play facilitator</t>
  </si>
  <si>
    <t xml:space="preserve">Rough-and-tumble · lifting · movement games</t>
  </si>
  <si>
    <t xml:space="preserve">Motor development · spatial awareness</t>
  </si>
  <si>
    <t xml:space="preserve">Exploration partner</t>
  </si>
  <si>
    <t xml:space="preserve">Outdoor exploration · building · problem-solving</t>
  </si>
  <si>
    <t xml:space="preserve">Curiosity drive · spatial cognition</t>
  </si>
  <si>
    <t xml:space="preserve">Logical reasoning model</t>
  </si>
  <si>
    <t xml:space="preserve">Explaining how things work · puzzles · science</t>
  </si>
  <si>
    <t xml:space="preserve">Causal reasoning · pattern recognition</t>
  </si>
  <si>
    <t xml:space="preserve">Skill development mentor</t>
  </si>
  <si>
    <t xml:space="preserve">Technical skills · sports · discipline</t>
  </si>
  <si>
    <t xml:space="preserve">Skill graph SK_02, SK_03, SK_13</t>
  </si>
  <si>
    <t xml:space="preserve">Identity anchor + challenge</t>
  </si>
  <si>
    <t xml:space="preserve">Honest feedback · high expectations</t>
  </si>
  <si>
    <t xml:space="preserve">Identity consolidation · resilience</t>
  </si>
  <si>
    <t xml:space="preserve">Wisdom peer</t>
  </si>
  <si>
    <t xml:space="preserve">Shared experience · intergenerational learning</t>
  </si>
  <si>
    <t xml:space="preserve">Legacy projection · career guidance</t>
  </si>
  <si>
    <t xml:space="preserve">NPC_CHINA</t>
  </si>
  <si>
    <t xml:space="preserve">Father identifier</t>
  </si>
  <si>
    <t xml:space="preserve">0.70</t>
  </si>
  <si>
    <t xml:space="preserve">Static — secondary attachment</t>
  </si>
  <si>
    <t xml:space="preserve">Regular contact · play-focused</t>
  </si>
  <si>
    <t xml:space="preserve">A7DO achievement</t>
  </si>
  <si>
    <t xml:space="preserve">Wants A7DO to develop skills and independence</t>
  </si>
  <si>
    <t xml:space="preserve">A7DO is capable</t>
  </si>
  <si>
    <t xml:space="preserve">High expectations · growth mindset</t>
  </si>
  <si>
    <t xml:space="preserve">Protective</t>
  </si>
  <si>
    <t xml:space="preserve">Calm · analytical · quietly proud</t>
  </si>
  <si>
    <t xml:space="preserve">72%</t>
  </si>
  <si>
    <t xml:space="preserve">success_rate(predictions, last_200)</t>
  </si>
  <si>
    <t xml:space="preserve">Good — 200+ interactions</t>
  </si>
  <si>
    <t xml:space="preserve">Regular contact · technical culture source</t>
  </si>
  <si>
    <t xml:space="preserve">P(norm spreads | NPC_CHINA)</t>
  </si>
  <si>
    <t xml:space="preserve">Secondary cultural transmission agent</t>
  </si>
  <si>
    <t xml:space="preserve">Secondary</t>
  </si>
  <si>
    <t xml:space="preserve">Impact_direct + genetic</t>
  </si>
  <si>
    <t xml:space="preserve">Genetic + skill development legacy</t>
  </si>
  <si>
    <t xml:space="preserve">China's Genotype</t>
  </si>
  <si>
    <t xml:space="preserve">DD (homozygous dominant)</t>
  </si>
  <si>
    <t xml:space="preserve">~177 cm adult height (dominant)</t>
  </si>
  <si>
    <t xml:space="preserve">High — dominant expression</t>
  </si>
  <si>
    <t xml:space="preserve">Very high baseline</t>
  </si>
  <si>
    <t xml:space="preserve">High analytical + spatial intelligence</t>
  </si>
  <si>
    <t xml:space="preserve">Physical strength</t>
  </si>
  <si>
    <t xml:space="preserve">Above-average muscle mass potential</t>
  </si>
  <si>
    <t xml:space="preserve">Fast</t>
  </si>
  <si>
    <t xml:space="preserve">High energy efficiency · athletic capacity</t>
  </si>
  <si>
    <t xml:space="preserve">Very high</t>
  </si>
  <si>
    <t xml:space="preserve">Excellent cortisol regulation</t>
  </si>
  <si>
    <t xml:space="preserve">Spatial cognition</t>
  </si>
  <si>
    <t xml:space="preserve">Strong 3D spatial reasoning</t>
  </si>
  <si>
    <t xml:space="preserve">Pattern recognition</t>
  </si>
  <si>
    <t xml:space="preserve">Exceptional pattern detection</t>
  </si>
  <si>
    <t xml:space="preserve">Risk tolerance</t>
  </si>
  <si>
    <t xml:space="preserve">Moderate-high</t>
  </si>
  <si>
    <t xml:space="preserve">Balanced risk assessment</t>
  </si>
  <si>
    <t xml:space="preserve">Long healthy lifespan trajectory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</si>
</sst>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i val="true"/>
      <sz val="8"/>
      <color rgb="FF9CA3AF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i val="true"/>
      <sz val="9"/>
      <color rgb="FF6B728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2"/>
      <color rgb="FF9C5700"/>
      <name val="Calibri"/>
      <family val="0"/>
      <charset val="1"/>
    </font>
    <font>
      <b val="true"/>
      <sz val="11"/>
      <color rgb="FF14532D"/>
      <name val="Calibri"/>
      <family val="0"/>
      <charset val="1"/>
    </font>
    <font>
      <b val="true"/>
      <sz val="11"/>
      <color rgb="FF1F6B5B"/>
      <name val="Calibri"/>
      <family val="0"/>
      <charset val="1"/>
    </font>
    <font>
      <b val="true"/>
      <sz val="11"/>
      <color rgb="FF3B0764"/>
      <name val="Calibri"/>
      <family val="0"/>
      <charset val="1"/>
    </font>
    <font>
      <b val="true"/>
      <sz val="11"/>
      <color rgb="FF78350F"/>
      <name val="Calibri"/>
      <family val="0"/>
      <charset val="1"/>
    </font>
    <font>
      <b val="true"/>
      <sz val="11"/>
      <color rgb="FF312E81"/>
      <name val="Calibri"/>
      <family val="0"/>
      <charset val="1"/>
    </font>
    <font>
      <b val="true"/>
      <sz val="11"/>
      <color rgb="FF7F1D1D"/>
      <name val="Calibri"/>
      <family val="0"/>
      <charset val="1"/>
    </font>
    <font>
      <b val="true"/>
      <sz val="11"/>
      <color rgb="FF7C2D12"/>
      <name val="Calibri"/>
      <family val="0"/>
      <charset val="1"/>
    </font>
    <font>
      <b val="true"/>
      <sz val="11"/>
      <color rgb="FF831843"/>
      <name val="Calibri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F4E79"/>
        <bgColor rgb="FF1F6B5B"/>
      </patternFill>
    </fill>
    <fill>
      <patternFill patternType="solid">
        <fgColor rgb="FFD6E4F0"/>
        <bgColor rgb="FFE0E7FF"/>
      </patternFill>
    </fill>
    <fill>
      <patternFill patternType="solid">
        <fgColor rgb="FFF8F9FA"/>
        <bgColor rgb="FFFFFFFF"/>
      </patternFill>
    </fill>
    <fill>
      <patternFill patternType="solid">
        <fgColor rgb="FFFFEB9C"/>
        <bgColor rgb="FFFEF3C7"/>
      </patternFill>
    </fill>
    <fill>
      <patternFill patternType="solid">
        <fgColor rgb="FF14532D"/>
        <bgColor rgb="FF1F6B5B"/>
      </patternFill>
    </fill>
    <fill>
      <patternFill patternType="solid">
        <fgColor rgb="FFDCFCE7"/>
        <bgColor rgb="FFDAEEE6"/>
      </patternFill>
    </fill>
    <fill>
      <patternFill patternType="solid">
        <fgColor rgb="FF1F6B5B"/>
        <bgColor rgb="FF1F4E79"/>
      </patternFill>
    </fill>
    <fill>
      <patternFill patternType="solid">
        <fgColor rgb="FFDAEEE6"/>
        <bgColor rgb="FFD6E4F0"/>
      </patternFill>
    </fill>
    <fill>
      <patternFill patternType="solid">
        <fgColor rgb="FF3B0764"/>
        <bgColor rgb="FF312E81"/>
      </patternFill>
    </fill>
    <fill>
      <patternFill patternType="solid">
        <fgColor rgb="FFF3E8FF"/>
        <bgColor rgb="FFFCE7F3"/>
      </patternFill>
    </fill>
    <fill>
      <patternFill patternType="solid">
        <fgColor rgb="FF78350F"/>
        <bgColor rgb="FF7C2D12"/>
      </patternFill>
    </fill>
    <fill>
      <patternFill patternType="solid">
        <fgColor rgb="FFFEF3C7"/>
        <bgColor rgb="FFFFEDD5"/>
      </patternFill>
    </fill>
    <fill>
      <patternFill patternType="solid">
        <fgColor rgb="FF312E81"/>
        <bgColor rgb="FF1F4E79"/>
      </patternFill>
    </fill>
    <fill>
      <patternFill patternType="solid">
        <fgColor rgb="FFE0E7FF"/>
        <bgColor rgb="FFD6E4F0"/>
      </patternFill>
    </fill>
    <fill>
      <patternFill patternType="solid">
        <fgColor rgb="FF7F1D1D"/>
        <bgColor rgb="FF7C2D12"/>
      </patternFill>
    </fill>
    <fill>
      <patternFill patternType="solid">
        <fgColor rgb="FFFEE2E2"/>
        <bgColor rgb="FFFCE7F3"/>
      </patternFill>
    </fill>
    <fill>
      <patternFill patternType="solid">
        <fgColor rgb="FF7C2D12"/>
        <bgColor rgb="FF78350F"/>
      </patternFill>
    </fill>
    <fill>
      <patternFill patternType="solid">
        <fgColor rgb="FFFFEDD5"/>
        <bgColor rgb="FFFEF3C7"/>
      </patternFill>
    </fill>
    <fill>
      <patternFill patternType="solid">
        <fgColor rgb="FF831843"/>
        <bgColor rgb="FF7F1D1D"/>
      </patternFill>
    </fill>
    <fill>
      <patternFill patternType="solid">
        <fgColor rgb="FFFCE7F3"/>
        <bgColor rgb="FFF3E8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9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5" fillId="11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6" fillId="1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7" fillId="1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8" fillId="1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9" fillId="19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0" fillId="21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1D1D"/>
      <rgbColor rgb="FF008000"/>
      <rgbColor rgb="FF000080"/>
      <rgbColor rgb="FF9C5700"/>
      <rgbColor rgb="FF800080"/>
      <rgbColor rgb="FF1F6B5B"/>
      <rgbColor rgb="FFF3E8FF"/>
      <rgbColor rgb="FF595959"/>
      <rgbColor rgb="FF9999FF"/>
      <rgbColor rgb="FF831843"/>
      <rgbColor rgb="FFFEF3C7"/>
      <rgbColor rgb="FFDCFCE7"/>
      <rgbColor rgb="FF3B0764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EE6"/>
      <rgbColor rgb="FFE0E7FF"/>
      <rgbColor rgb="FFFFEB9C"/>
      <rgbColor rgb="FFFCE7F3"/>
      <rgbColor rgb="FFFFEDD5"/>
      <rgbColor rgb="FFF8F9FA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1F4E79"/>
      <rgbColor rgb="FF339966"/>
      <rgbColor rgb="FF003300"/>
      <rgbColor rgb="FF333300"/>
      <rgbColor rgb="FF7C2D12"/>
      <rgbColor rgb="FF78350F"/>
      <rgbColor rgb="FF312E81"/>
      <rgbColor rgb="FF1453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52"/>
    <col collapsed="false" customWidth="true" hidden="false" outlineLevel="0" max="3" min="3" style="1" width="14"/>
    <col collapsed="false" customWidth="true" hidden="false" outlineLevel="0" max="4" min="4" style="1" width="38"/>
  </cols>
  <sheetData>
    <row r="1" customFormat="false" ht="35.25" hidden="false" customHeight="true" outlineLevel="0" collapsed="false">
      <c r="A1" s="2" t="s">
        <v>0</v>
      </c>
    </row>
    <row r="2" customFormat="false" ht="21.75" hidden="false" customHeight="true" outlineLevel="0" collapsed="false">
      <c r="A2" s="3" t="s">
        <v>1</v>
      </c>
    </row>
    <row r="3" customFormat="false" ht="20.25" hidden="false" customHeight="true" outlineLevel="0" collapsed="false">
      <c r="A3" s="4" t="s">
        <v>2</v>
      </c>
    </row>
    <row r="5" customFormat="false" ht="41.25" hidden="false" customHeight="true" outlineLevel="0" collapsed="false">
      <c r="A5" s="5" t="s">
        <v>3</v>
      </c>
    </row>
    <row r="6" customFormat="false" ht="15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</row>
    <row r="7" customFormat="false" ht="15" hidden="false" customHeight="true" outlineLevel="0" collapsed="false">
      <c r="A7" s="7" t="s">
        <v>8</v>
      </c>
      <c r="B7" s="8" t="n">
        <f aca="false">'🧬 DNA Loop Engine'!B4</f>
        <v>0</v>
      </c>
      <c r="C7" s="8" t="s">
        <v>9</v>
      </c>
      <c r="D7" s="9" t="s">
        <v>10</v>
      </c>
    </row>
    <row r="8" customFormat="false" ht="15" hidden="false" customHeight="true" outlineLevel="0" collapsed="false">
      <c r="A8" s="10" t="s">
        <v>11</v>
      </c>
      <c r="B8" s="11" t="n">
        <f aca="false">'🧬 DNA Loop Engine'!B5</f>
        <v>0</v>
      </c>
      <c r="C8" s="11" t="s">
        <v>12</v>
      </c>
      <c r="D8" s="12" t="s">
        <v>13</v>
      </c>
    </row>
    <row r="9" customFormat="false" ht="15" hidden="false" customHeight="true" outlineLevel="0" collapsed="false">
      <c r="A9" s="7" t="s">
        <v>14</v>
      </c>
      <c r="B9" s="8" t="n">
        <f aca="false">'🧬 DNA Loop Engine'!B15</f>
        <v>0</v>
      </c>
      <c r="C9" s="8"/>
      <c r="D9" s="9" t="s">
        <v>15</v>
      </c>
    </row>
    <row r="10" customFormat="false" ht="15" hidden="false" customHeight="true" outlineLevel="0" collapsed="false">
      <c r="A10" s="10" t="s">
        <v>16</v>
      </c>
      <c r="B10" s="11" t="n">
        <f aca="false">'🧬 DNA Loop Engine'!B16</f>
        <v>0</v>
      </c>
      <c r="C10" s="11"/>
      <c r="D10" s="12" t="s">
        <v>17</v>
      </c>
    </row>
    <row r="11" customFormat="false" ht="15" hidden="false" customHeight="true" outlineLevel="0" collapsed="false">
      <c r="A11" s="7" t="s">
        <v>18</v>
      </c>
      <c r="B11" s="8" t="n">
        <f aca="false">'🧬 DNA Loop Engine'!B8</f>
        <v>0</v>
      </c>
      <c r="C11" s="8"/>
      <c r="D11" s="9" t="s">
        <v>19</v>
      </c>
    </row>
    <row r="12" customFormat="false" ht="15" hidden="false" customHeight="true" outlineLevel="0" collapsed="false">
      <c r="A12" s="10" t="s">
        <v>20</v>
      </c>
      <c r="B12" s="11" t="n">
        <f aca="false">'🧬 DNA Loop Engine'!B22</f>
        <v>1</v>
      </c>
      <c r="C12" s="11"/>
      <c r="D12" s="12" t="s">
        <v>21</v>
      </c>
    </row>
    <row r="13" customFormat="false" ht="15" hidden="false" customHeight="true" outlineLevel="0" collapsed="false">
      <c r="A13" s="7" t="s">
        <v>22</v>
      </c>
      <c r="B13" s="8" t="n">
        <f aca="false">'🧬 DNA Loop Engine'!B29</f>
        <v>0</v>
      </c>
      <c r="C13" s="8" t="s">
        <v>23</v>
      </c>
      <c r="D13" s="9" t="s">
        <v>24</v>
      </c>
    </row>
    <row r="14" customFormat="false" ht="15" hidden="false" customHeight="true" outlineLevel="0" collapsed="false">
      <c r="A14" s="10" t="s">
        <v>25</v>
      </c>
      <c r="B14" s="11" t="n">
        <f aca="false">'🧬 DNA Loop Engine'!B30</f>
        <v>0</v>
      </c>
      <c r="C14" s="11" t="s">
        <v>26</v>
      </c>
      <c r="D14" s="12" t="s">
        <v>27</v>
      </c>
    </row>
    <row r="15" customFormat="false" ht="15" hidden="false" customHeight="true" outlineLevel="0" collapsed="false">
      <c r="A15" s="7" t="s">
        <v>28</v>
      </c>
      <c r="B15" s="8" t="n">
        <f aca="false">'🧬 DNA Loop Engine'!B27</f>
        <v>0</v>
      </c>
      <c r="C15" s="8" t="s">
        <v>29</v>
      </c>
      <c r="D15" s="9" t="s">
        <v>30</v>
      </c>
    </row>
    <row r="16" customFormat="false" ht="15" hidden="false" customHeight="true" outlineLevel="0" collapsed="false">
      <c r="A16" s="10" t="s">
        <v>31</v>
      </c>
      <c r="B16" s="11" t="n">
        <f aca="false">IFERROR(ROUND(50000/(1+EXP(-0.05*('🧬 DNA Loop Engine'!B5-156))),0),0)</f>
        <v>20</v>
      </c>
      <c r="C16" s="11" t="s">
        <v>32</v>
      </c>
      <c r="D16" s="12" t="s">
        <v>33</v>
      </c>
    </row>
    <row r="17" customFormat="false" ht="15" hidden="false" customHeight="true" outlineLevel="0" collapsed="false">
      <c r="A17" s="7" t="s">
        <v>34</v>
      </c>
      <c r="B17" s="8" t="n">
        <f aca="false">IF('🧬 DNA Loop Engine'!B5&gt;=400,5,IF('🧬 DNA Loop Engine'!B5&gt;=260,4,IF('🧬 DNA Loop Engine'!B5&gt;=160,3,IF('🧬 DNA Loop Engine'!B5&gt;=80,2,1))))</f>
        <v>1</v>
      </c>
      <c r="C17" s="8" t="s">
        <v>35</v>
      </c>
      <c r="D17" s="9" t="s">
        <v>36</v>
      </c>
    </row>
    <row r="18" customFormat="false" ht="15" hidden="false" customHeight="true" outlineLevel="0" collapsed="false">
      <c r="A18" s="10" t="s">
        <v>37</v>
      </c>
      <c r="B18" s="11" t="n">
        <f aca="false">IF('🧬 DNA Loop Engine'!B5&gt;=624,5,IF('🧬 DNA Loop Engine'!B5&gt;=312,4,IF('🧬 DNA Loop Engine'!B5&gt;=208,3,IF('🧬 DNA Loop Engine'!B5&gt;=156,2,1))))</f>
        <v>1</v>
      </c>
      <c r="C18" s="11" t="s">
        <v>35</v>
      </c>
      <c r="D18" s="12" t="s">
        <v>38</v>
      </c>
    </row>
    <row r="19" customFormat="false" ht="15" hidden="false" customHeight="true" outlineLevel="0" collapsed="false">
      <c r="A19" s="7" t="s">
        <v>39</v>
      </c>
      <c r="B19" s="8" t="n">
        <f aca="false">IF('🧬 DNA Loop Engine'!B5&gt;=52,3,IF('🧬 DNA Loop Engine'!B5&gt;=44,2,IF('🧬 DNA Loop Engine'!B5&gt;=36,1,0)))</f>
        <v>0</v>
      </c>
      <c r="C19" s="8" t="s">
        <v>40</v>
      </c>
      <c r="D19" s="9" t="s">
        <v>41</v>
      </c>
    </row>
    <row r="20" customFormat="false" ht="15" hidden="false" customHeight="true" outlineLevel="0" collapsed="false">
      <c r="A20" s="10" t="s">
        <v>42</v>
      </c>
      <c r="B20" s="11" t="n">
        <f aca="false">ROUND(MIN(0.05+'🧬 DNA Loop Engine'!B5/3000,1),3)</f>
        <v>0.05</v>
      </c>
      <c r="C20" s="11" t="s">
        <v>43</v>
      </c>
      <c r="D20" s="12" t="s">
        <v>44</v>
      </c>
    </row>
    <row r="21" customFormat="false" ht="15" hidden="false" customHeight="true" outlineLevel="0" collapsed="false">
      <c r="A21" s="7" t="s">
        <v>45</v>
      </c>
      <c r="B21" s="8" t="n">
        <f aca="false">MIN(INT('🧬 DNA Loop Engine'!B4*0.96),200000)</f>
        <v>0</v>
      </c>
      <c r="C21" s="8" t="s">
        <v>46</v>
      </c>
      <c r="D21" s="9" t="s">
        <v>47</v>
      </c>
    </row>
    <row r="22" customFormat="false" ht="15" hidden="false" customHeight="true" outlineLevel="0" collapsed="false">
      <c r="A22" s="10" t="s">
        <v>48</v>
      </c>
      <c r="B22" s="11" t="n">
        <f aca="false">'🧬 DNA Loop Engine'!B18</f>
        <v>0.9</v>
      </c>
      <c r="C22" s="11" t="s">
        <v>43</v>
      </c>
      <c r="D22" s="12" t="s">
        <v>49</v>
      </c>
    </row>
    <row r="23" customFormat="false" ht="15" hidden="false" customHeight="true" outlineLevel="0" collapsed="false">
      <c r="A23" s="7" t="s">
        <v>50</v>
      </c>
      <c r="B23" s="8" t="n">
        <f aca="false">'🧬 DNA Loop Engine'!B19</f>
        <v>0.06</v>
      </c>
      <c r="C23" s="8" t="s">
        <v>43</v>
      </c>
      <c r="D23" s="9" t="s">
        <v>51</v>
      </c>
    </row>
    <row r="24" customFormat="false" ht="15" hidden="false" customHeight="true" outlineLevel="0" collapsed="false">
      <c r="A24" s="10" t="s">
        <v>52</v>
      </c>
      <c r="B24" s="11" t="n">
        <f aca="false">'🧬 DNA Loop Engine'!B20</f>
        <v>20</v>
      </c>
      <c r="C24" s="11" t="s">
        <v>43</v>
      </c>
      <c r="D24" s="12" t="s">
        <v>53</v>
      </c>
    </row>
    <row r="25" customFormat="false" ht="15" hidden="false" customHeight="true" outlineLevel="0" collapsed="false">
      <c r="A25" s="7" t="s">
        <v>54</v>
      </c>
      <c r="B25" s="8" t="str">
        <f aca="false">IF(MOD('🧬 DNA Loop Engine'!B4,800)=0,"💤 Sleep",IF(MOD('🧬 DNA Loop Engine'!B4,10)=0,"🔁 Repetition",IF(MOD('🧬 DNA Loop Engine'!B4,5)=0,"🤝 Interaction","👁️ Exposure")))</f>
        <v>💤 Sleep</v>
      </c>
      <c r="C25" s="8"/>
      <c r="D25" s="9" t="s">
        <v>55</v>
      </c>
    </row>
    <row r="26" customFormat="false" ht="15" hidden="false" customHeight="true" outlineLevel="0" collapsed="false">
      <c r="A26" s="10" t="s">
        <v>56</v>
      </c>
      <c r="B26" s="11" t="str">
        <f aca="false">IF('🧬 DNA Loop Engine'!B4&gt;=96000,"✅ ACTIVE","⏳ Pending Tick 96,000")</f>
        <v>⏳ Pending Tick 96,000</v>
      </c>
      <c r="C26" s="11"/>
      <c r="D26" s="12" t="s">
        <v>57</v>
      </c>
    </row>
    <row r="27" customFormat="false" ht="15" hidden="false" customHeight="true" outlineLevel="0" collapsed="false">
      <c r="A27" s="7" t="s">
        <v>58</v>
      </c>
      <c r="B27" s="8" t="n">
        <f aca="false">IF('🧬 DNA Loop Engine'!B4&gt;=96000,ROUND(MIN(0.1+(('🧬 DNA Loop Engine'!B5-1200)/800)*0.9,1),3),0)</f>
        <v>0</v>
      </c>
      <c r="C27" s="8" t="s">
        <v>43</v>
      </c>
      <c r="D27" s="9" t="s">
        <v>59</v>
      </c>
    </row>
    <row r="30" customFormat="false" ht="27.75" hidden="false" customHeight="true" outlineLevel="0" collapsed="false">
      <c r="A30" s="5" t="s">
        <v>60</v>
      </c>
    </row>
    <row r="31" customFormat="false" ht="23.25" hidden="false" customHeight="true" outlineLevel="0" collapsed="false">
      <c r="A31" s="6" t="s">
        <v>61</v>
      </c>
      <c r="B31" s="6" t="s">
        <v>62</v>
      </c>
      <c r="C31" s="6" t="s">
        <v>63</v>
      </c>
      <c r="D31" s="6" t="s">
        <v>64</v>
      </c>
      <c r="E31" s="6" t="s">
        <v>65</v>
      </c>
      <c r="F31" s="6" t="s">
        <v>66</v>
      </c>
    </row>
    <row r="32" customFormat="false" ht="68.25" hidden="false" customHeight="true" outlineLevel="0" collapsed="false">
      <c r="A32" s="13" t="s">
        <v>67</v>
      </c>
      <c r="B32" s="13" t="s">
        <v>68</v>
      </c>
      <c r="C32" s="13" t="s">
        <v>69</v>
      </c>
      <c r="D32" s="13" t="s">
        <v>70</v>
      </c>
      <c r="E32" s="13" t="s">
        <v>71</v>
      </c>
      <c r="F32" s="13" t="str">
        <f aca="false">IF('🧬 DNA Loop Engine'!B4&gt;=3200,"✅ Complete",IF('🧬 DNA Loop Engine'!B4&gt;=0,"⭐ CURRENT","⏳"))</f>
        <v>⭐ CURRENT</v>
      </c>
    </row>
    <row r="33" customFormat="false" ht="79.5" hidden="false" customHeight="true" outlineLevel="0" collapsed="false">
      <c r="A33" s="14" t="s">
        <v>72</v>
      </c>
      <c r="B33" s="14" t="s">
        <v>73</v>
      </c>
      <c r="C33" s="14" t="s">
        <v>74</v>
      </c>
      <c r="D33" s="14" t="s">
        <v>75</v>
      </c>
      <c r="E33" s="14" t="s">
        <v>76</v>
      </c>
      <c r="F33" s="14" t="str">
        <f aca="false">IF('🧬 DNA Loop Engine'!B4&gt;=6400,"✅ Complete",IF('🧬 DNA Loop Engine'!B4&gt;=3200,"⭐ CURRENT","⏳"))</f>
        <v>⏳</v>
      </c>
    </row>
    <row r="34" customFormat="false" ht="79.5" hidden="false" customHeight="true" outlineLevel="0" collapsed="false">
      <c r="A34" s="13" t="s">
        <v>77</v>
      </c>
      <c r="B34" s="13" t="s">
        <v>78</v>
      </c>
      <c r="C34" s="13" t="s">
        <v>79</v>
      </c>
      <c r="D34" s="13" t="s">
        <v>80</v>
      </c>
      <c r="E34" s="13" t="s">
        <v>81</v>
      </c>
      <c r="F34" s="13" t="str">
        <f aca="false">IF('🧬 DNA Loop Engine'!B4&gt;=12480,"✅ Complete",IF('🧬 DNA Loop Engine'!B4&gt;=6400,"⭐ CURRENT","⏳"))</f>
        <v>⏳</v>
      </c>
    </row>
    <row r="35" customFormat="false" ht="68.25" hidden="false" customHeight="true" outlineLevel="0" collapsed="false">
      <c r="A35" s="14" t="s">
        <v>82</v>
      </c>
      <c r="B35" s="14" t="s">
        <v>83</v>
      </c>
      <c r="C35" s="14" t="s">
        <v>84</v>
      </c>
      <c r="D35" s="14" t="s">
        <v>85</v>
      </c>
      <c r="E35" s="14" t="s">
        <v>86</v>
      </c>
      <c r="F35" s="14" t="str">
        <f aca="false">IF('🧬 DNA Loop Engine'!B4&gt;=49920,"✅ Complete",IF('🧬 DNA Loop Engine'!B4&gt;=12480,"⭐ CURRENT","⏳"))</f>
        <v>⏳</v>
      </c>
    </row>
    <row r="36" customFormat="false" ht="68.25" hidden="false" customHeight="true" outlineLevel="0" collapsed="false">
      <c r="A36" s="13" t="s">
        <v>87</v>
      </c>
      <c r="B36" s="13" t="s">
        <v>88</v>
      </c>
      <c r="C36" s="13" t="s">
        <v>89</v>
      </c>
      <c r="D36" s="13" t="s">
        <v>90</v>
      </c>
      <c r="E36" s="13" t="s">
        <v>91</v>
      </c>
      <c r="F36" s="13" t="str">
        <f aca="false">IF('🧬 DNA Loop Engine'!B4&gt;=74880,"✅ Complete",IF('🧬 DNA Loop Engine'!B4&gt;=49920,"⭐ CURRENT","⏳"))</f>
        <v>⏳</v>
      </c>
    </row>
    <row r="37" customFormat="false" ht="57" hidden="false" customHeight="true" outlineLevel="0" collapsed="false">
      <c r="A37" s="14" t="s">
        <v>92</v>
      </c>
      <c r="B37" s="14" t="s">
        <v>93</v>
      </c>
      <c r="C37" s="14" t="s">
        <v>94</v>
      </c>
      <c r="D37" s="14" t="s">
        <v>95</v>
      </c>
      <c r="E37" s="14" t="s">
        <v>96</v>
      </c>
      <c r="F37" s="14" t="str">
        <f aca="false">IF('🧬 DNA Loop Engine'!B4&gt;=96000,"✅ Complete",IF('🧬 DNA Loop Engine'!B4&gt;=74880,"⭐ CURRENT","⏳"))</f>
        <v>⏳</v>
      </c>
    </row>
    <row r="38" customFormat="false" ht="57" hidden="false" customHeight="true" outlineLevel="0" collapsed="false">
      <c r="A38" s="13" t="s">
        <v>97</v>
      </c>
      <c r="B38" s="13" t="s">
        <v>98</v>
      </c>
      <c r="C38" s="13" t="s">
        <v>99</v>
      </c>
      <c r="D38" s="13" t="s">
        <v>100</v>
      </c>
      <c r="E38" s="13" t="s">
        <v>101</v>
      </c>
      <c r="F38" s="13" t="str">
        <f aca="false">IF('🧬 DNA Loop Engine'!B4&gt;=96000,"⭐ CURRENT","⏳")</f>
        <v>⏳</v>
      </c>
    </row>
    <row r="39" customFormat="false" ht="57" hidden="false" customHeight="true" outlineLevel="0" collapsed="false">
      <c r="A39" s="14" t="s">
        <v>102</v>
      </c>
      <c r="B39" s="14" t="s">
        <v>103</v>
      </c>
      <c r="C39" s="14" t="s">
        <v>104</v>
      </c>
      <c r="D39" s="14" t="s">
        <v>105</v>
      </c>
      <c r="E39" s="14" t="s">
        <v>106</v>
      </c>
      <c r="F39" s="14" t="str">
        <f aca="false">IF('🧬 DNA Loop Engine'!B4&gt;=0,"📋 Specified","⏳")</f>
        <v>📋 Specified</v>
      </c>
    </row>
    <row r="42" customFormat="false" ht="27.75" hidden="false" customHeight="true" outlineLevel="0" collapsed="false">
      <c r="A42" s="5" t="s">
        <v>107</v>
      </c>
    </row>
    <row r="43" customFormat="false" ht="15" hidden="false" customHeight="true" outlineLevel="0" collapsed="false">
      <c r="A43" s="6" t="s">
        <v>108</v>
      </c>
      <c r="B43" s="6" t="s">
        <v>109</v>
      </c>
      <c r="C43" s="6" t="s">
        <v>110</v>
      </c>
      <c r="D43" s="6" t="s">
        <v>111</v>
      </c>
    </row>
    <row r="44" customFormat="false" ht="15" hidden="false" customHeight="true" outlineLevel="0" collapsed="false">
      <c r="A44" s="13" t="n">
        <v>0</v>
      </c>
      <c r="B44" s="13" t="s">
        <v>112</v>
      </c>
      <c r="C44" s="13" t="s">
        <v>113</v>
      </c>
      <c r="D44" s="13" t="s">
        <v>114</v>
      </c>
    </row>
    <row r="45" customFormat="false" ht="23.25" hidden="false" customHeight="true" outlineLevel="0" collapsed="false">
      <c r="A45" s="14" t="n">
        <v>1</v>
      </c>
      <c r="B45" s="14" t="s">
        <v>115</v>
      </c>
      <c r="C45" s="14" t="s">
        <v>113</v>
      </c>
      <c r="D45" s="14" t="s">
        <v>116</v>
      </c>
    </row>
    <row r="46" customFormat="false" ht="23.25" hidden="false" customHeight="true" outlineLevel="0" collapsed="false">
      <c r="A46" s="13" t="n">
        <v>2</v>
      </c>
      <c r="B46" s="13" t="s">
        <v>117</v>
      </c>
      <c r="C46" s="13" t="s">
        <v>67</v>
      </c>
      <c r="D46" s="13" t="s">
        <v>118</v>
      </c>
    </row>
    <row r="47" customFormat="false" ht="23.25" hidden="false" customHeight="true" outlineLevel="0" collapsed="false">
      <c r="A47" s="14" t="n">
        <v>3</v>
      </c>
      <c r="B47" s="14" t="s">
        <v>119</v>
      </c>
      <c r="C47" s="14" t="s">
        <v>72</v>
      </c>
      <c r="D47" s="14" t="s">
        <v>120</v>
      </c>
    </row>
    <row r="48" customFormat="false" ht="23.25" hidden="false" customHeight="true" outlineLevel="0" collapsed="false">
      <c r="A48" s="13" t="n">
        <v>4</v>
      </c>
      <c r="B48" s="13" t="s">
        <v>121</v>
      </c>
      <c r="C48" s="13" t="s">
        <v>77</v>
      </c>
      <c r="D48" s="13" t="s">
        <v>122</v>
      </c>
    </row>
    <row r="49" customFormat="false" ht="23.25" hidden="false" customHeight="true" outlineLevel="0" collapsed="false">
      <c r="A49" s="14" t="n">
        <v>5</v>
      </c>
      <c r="B49" s="14" t="s">
        <v>123</v>
      </c>
      <c r="C49" s="14" t="s">
        <v>82</v>
      </c>
      <c r="D49" s="14" t="s">
        <v>124</v>
      </c>
    </row>
    <row r="50" customFormat="false" ht="23.25" hidden="false" customHeight="true" outlineLevel="0" collapsed="false">
      <c r="A50" s="13" t="n">
        <v>6</v>
      </c>
      <c r="B50" s="13" t="s">
        <v>125</v>
      </c>
      <c r="C50" s="13" t="s">
        <v>87</v>
      </c>
      <c r="D50" s="13" t="s">
        <v>126</v>
      </c>
    </row>
    <row r="51" customFormat="false" ht="15" hidden="false" customHeight="true" outlineLevel="0" collapsed="false">
      <c r="A51" s="14" t="n">
        <v>7</v>
      </c>
      <c r="B51" s="14" t="s">
        <v>127</v>
      </c>
      <c r="C51" s="14" t="s">
        <v>92</v>
      </c>
      <c r="D51" s="14" t="s">
        <v>128</v>
      </c>
    </row>
    <row r="52" customFormat="false" ht="23.25" hidden="false" customHeight="true" outlineLevel="0" collapsed="false">
      <c r="A52" s="13" t="n">
        <v>8</v>
      </c>
      <c r="B52" s="13" t="s">
        <v>129</v>
      </c>
      <c r="C52" s="13" t="s">
        <v>97</v>
      </c>
      <c r="D52" s="13" t="s">
        <v>130</v>
      </c>
    </row>
    <row r="53" customFormat="false" ht="23.25" hidden="false" customHeight="true" outlineLevel="0" collapsed="false">
      <c r="A53" s="14" t="n">
        <v>9</v>
      </c>
      <c r="B53" s="14" t="s">
        <v>131</v>
      </c>
      <c r="C53" s="14" t="s">
        <v>102</v>
      </c>
      <c r="D53" s="14" t="s">
        <v>132</v>
      </c>
    </row>
    <row r="54" customFormat="false" ht="15" hidden="false" customHeight="true" outlineLevel="0" collapsed="false">
      <c r="A54" s="13" t="n">
        <v>10</v>
      </c>
      <c r="B54" s="13" t="s">
        <v>133</v>
      </c>
      <c r="C54" s="13" t="s">
        <v>134</v>
      </c>
      <c r="D54" s="13" t="s">
        <v>135</v>
      </c>
    </row>
    <row r="55" customFormat="false" ht="23.25" hidden="false" customHeight="true" outlineLevel="0" collapsed="false">
      <c r="A55" s="14" t="n">
        <v>11</v>
      </c>
      <c r="B55" s="14" t="s">
        <v>136</v>
      </c>
      <c r="C55" s="14" t="s">
        <v>137</v>
      </c>
      <c r="D55" s="14" t="s">
        <v>138</v>
      </c>
    </row>
    <row r="56" customFormat="false" ht="23.25" hidden="false" customHeight="true" outlineLevel="0" collapsed="false">
      <c r="A56" s="13" t="n">
        <v>12</v>
      </c>
      <c r="B56" s="13" t="s">
        <v>139</v>
      </c>
      <c r="C56" s="13" t="s">
        <v>140</v>
      </c>
      <c r="D56" s="13" t="s">
        <v>141</v>
      </c>
    </row>
    <row r="57" customFormat="false" ht="23.25" hidden="false" customHeight="true" outlineLevel="0" collapsed="false">
      <c r="A57" s="14" t="n">
        <v>13</v>
      </c>
      <c r="B57" s="14" t="s">
        <v>142</v>
      </c>
      <c r="C57" s="14" t="s">
        <v>140</v>
      </c>
      <c r="D57" s="14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4"/>
    <col collapsed="false" customWidth="true" hidden="false" outlineLevel="0" max="3" min="3" style="1" width="18"/>
    <col collapsed="false" customWidth="true" hidden="false" outlineLevel="0" max="4" min="4" style="1" width="28"/>
    <col collapsed="false" customWidth="true" hidden="false" outlineLevel="0" max="6" min="5" style="1" width="18"/>
  </cols>
  <sheetData>
    <row r="1" customFormat="false" ht="52.5" hidden="false" customHeight="true" outlineLevel="0" collapsed="false">
      <c r="A1" s="2" t="s">
        <v>143</v>
      </c>
    </row>
    <row r="2" customFormat="false" ht="42.75" hidden="false" customHeight="true" outlineLevel="0" collapsed="false">
      <c r="A2" s="3" t="s">
        <v>144</v>
      </c>
    </row>
    <row r="3" customFormat="false" ht="30" hidden="false" customHeight="true" outlineLevel="0" collapsed="false">
      <c r="A3" s="4" t="s">
        <v>145</v>
      </c>
    </row>
    <row r="5" customFormat="false" ht="27.75" hidden="false" customHeight="true" outlineLevel="0" collapsed="false">
      <c r="A5" s="5" t="s">
        <v>146</v>
      </c>
    </row>
    <row r="6" customFormat="false" ht="15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</row>
    <row r="7" customFormat="false" ht="15" hidden="false" customHeight="true" outlineLevel="0" collapsed="false">
      <c r="A7" s="11" t="s">
        <v>8</v>
      </c>
      <c r="B7" s="15" t="n">
        <v>0</v>
      </c>
      <c r="C7" s="11" t="s">
        <v>9</v>
      </c>
      <c r="D7" s="11" t="s">
        <v>147</v>
      </c>
    </row>
    <row r="8" customFormat="false" ht="15" hidden="false" customHeight="true" outlineLevel="0" collapsed="false">
      <c r="A8" s="7" t="s">
        <v>11</v>
      </c>
      <c r="B8" s="8" t="n">
        <f aca="false">ROUND(B4/80,0)</f>
        <v>0</v>
      </c>
      <c r="C8" s="8" t="s">
        <v>12</v>
      </c>
      <c r="D8" s="9" t="s">
        <v>13</v>
      </c>
    </row>
    <row r="9" customFormat="false" ht="15" hidden="false" customHeight="true" outlineLevel="0" collapsed="false">
      <c r="A9" s="10" t="s">
        <v>14</v>
      </c>
      <c r="B9" s="11" t="str">
        <f aca="false">IFERROR(VLOOKUP(ROUND(B4/80,0),'🧬 DNA Loop Engine'!A42:B56,2,TRUE()),"Embryo")</f>
        <v>Embryo</v>
      </c>
      <c r="C9" s="11"/>
      <c r="D9" s="12" t="s">
        <v>15</v>
      </c>
    </row>
    <row r="10" customFormat="false" ht="15" hidden="false" customHeight="true" outlineLevel="0" collapsed="false">
      <c r="A10" s="7" t="s">
        <v>148</v>
      </c>
      <c r="B10" s="8" t="str">
        <f aca="false">IF(B5&gt;=40,"POSTNATAL",IF(B5&gt;=36,"BIRTH_READY",IF(B5&gt;=28,"INTEGRATE",IF(B5&gt;=20,"NEURAL_GROW",IF(B5&gt;=12,"REFLEX_ON",IF(B5&gt;=8,"BODY_FORM",IF(B5&gt;=4,"ORG_START","DNA_INIT")))))))</f>
        <v>DNA_INIT</v>
      </c>
      <c r="C10" s="8"/>
      <c r="D10" s="9" t="s">
        <v>149</v>
      </c>
    </row>
    <row r="11" customFormat="false" ht="15" hidden="false" customHeight="true" outlineLevel="0" collapsed="false">
      <c r="A11" s="10" t="s">
        <v>16</v>
      </c>
      <c r="B11" s="11" t="str">
        <f aca="false">IF(B5&lt;40,"Prenatal",ROUND(MAX(0,B5-40)/4.33,1)&amp;" months ("&amp;ROUND(MAX(0,B5-40)/52,2)&amp;" yrs)")</f>
        <v>Prenatal</v>
      </c>
      <c r="C11" s="11"/>
      <c r="D11" s="12" t="s">
        <v>17</v>
      </c>
    </row>
    <row r="12" customFormat="false" ht="15" hidden="false" customHeight="true" outlineLevel="0" collapsed="false">
      <c r="A12" s="7" t="s">
        <v>18</v>
      </c>
      <c r="B12" s="8" t="str">
        <f aca="false">IF(B4&gt;=3200,"🎉 BIRTH COMPLETE",IF(B4=0,"⏸️ NOT STARTED","🔄 GESTATING"))</f>
        <v>⏸️ NOT STARTED</v>
      </c>
      <c r="C12" s="8"/>
      <c r="D12" s="9" t="s">
        <v>150</v>
      </c>
    </row>
    <row r="13" customFormat="false" ht="15" hidden="false" customHeight="true" outlineLevel="0" collapsed="false">
      <c r="A13" s="10" t="s">
        <v>20</v>
      </c>
      <c r="B13" s="11" t="str">
        <f aca="false">IF(B4&gt;=3200,"🔌 SEVERED","🔗 CONNECTED")</f>
        <v>🔗 CONNECTED</v>
      </c>
      <c r="C13" s="11"/>
      <c r="D13" s="12" t="s">
        <v>21</v>
      </c>
    </row>
    <row r="14" customFormat="false" ht="15" hidden="false" customHeight="true" outlineLevel="0" collapsed="false">
      <c r="A14" s="7" t="s">
        <v>48</v>
      </c>
      <c r="B14" s="8" t="n">
        <f aca="false">IF(B5&gt;=40,1,IF(B5&gt;=36,0.95,IF(B5&gt;=28,0.8,IF(B5&gt;=20,0.6,IF(B5&gt;=12,0.4,IF(B5&gt;=8,0.25,IF(B5&gt;=4,0.1,0.01)))))))</f>
        <v>0.01</v>
      </c>
      <c r="C14" s="8" t="s">
        <v>43</v>
      </c>
      <c r="D14" s="9" t="s">
        <v>49</v>
      </c>
    </row>
    <row r="15" customFormat="false" ht="15" hidden="false" customHeight="true" outlineLevel="0" collapsed="false">
      <c r="A15" s="10" t="s">
        <v>50</v>
      </c>
      <c r="B15" s="11" t="n">
        <f aca="false">IF(B5&gt;=40,1,IF(B5&gt;=36,0.8,IF(B5&gt;=28,0.6,IF(B5&gt;=20,0.4,IF(B5&gt;=12,0.25,IF(B5&gt;=8,0.1,0))))))</f>
        <v>0</v>
      </c>
      <c r="C15" s="11" t="s">
        <v>43</v>
      </c>
      <c r="D15" s="12" t="s">
        <v>51</v>
      </c>
    </row>
    <row r="16" customFormat="false" ht="15" hidden="false" customHeight="true" outlineLevel="0" collapsed="false">
      <c r="A16" s="7" t="s">
        <v>52</v>
      </c>
      <c r="B16" s="8" t="n">
        <f aca="false">IF(B5&gt;=40,1,IF(B5&gt;=36,0.8,IF(B5&gt;=28,0.6,IF(B5&gt;=20,0.4,IF(B5&gt;=12,0.2,IF(B5&gt;=8,0.05,0))))))</f>
        <v>0</v>
      </c>
      <c r="C16" s="8" t="s">
        <v>43</v>
      </c>
      <c r="D16" s="9" t="s">
        <v>53</v>
      </c>
    </row>
    <row r="17" customFormat="false" ht="15" hidden="false" customHeight="true" outlineLevel="0" collapsed="false">
      <c r="A17" s="10" t="s">
        <v>28</v>
      </c>
      <c r="B17" s="11" t="n">
        <f aca="false">IF(B5&lt;40,ROUND(120+B18*30,0),MAX(60,ROUND(147-((B5-40)/52)*47,0)))</f>
        <v>147</v>
      </c>
      <c r="C17" s="11" t="s">
        <v>29</v>
      </c>
      <c r="D17" s="12" t="s">
        <v>151</v>
      </c>
    </row>
    <row r="18" customFormat="false" ht="15" hidden="false" customHeight="true" outlineLevel="0" collapsed="false">
      <c r="A18" s="7" t="s">
        <v>22</v>
      </c>
      <c r="B18" s="8" t="n">
        <f aca="false">IF(B5&lt;=40,ROUND(50/(1+EXP(-0.2*(B5-20))),1),IF(B5&lt;=936,ROUND(MIN(50+(177-50)*(1-EXP(-0.005*(B5-40))),177),1),177))</f>
        <v>0.9</v>
      </c>
      <c r="C18" s="8" t="s">
        <v>23</v>
      </c>
      <c r="D18" s="9" t="s">
        <v>24</v>
      </c>
    </row>
    <row r="19" customFormat="false" ht="15" hidden="false" customHeight="true" outlineLevel="0" collapsed="false">
      <c r="A19" s="10" t="s">
        <v>25</v>
      </c>
      <c r="B19" s="11" t="n">
        <f aca="false">IF(B5&lt;=40,ROUND(3.5/(1+EXP(-0.2*(B5-20))),2),IF(B5&lt;=936,ROUND(MIN(3.5+(70-3.5)*(1-EXP(-0.004*(B5-40))),70),2),70))</f>
        <v>0.06</v>
      </c>
      <c r="C19" s="11" t="s">
        <v>26</v>
      </c>
      <c r="D19" s="12" t="s">
        <v>27</v>
      </c>
    </row>
    <row r="20" customFormat="false" ht="15" hidden="false" customHeight="true" outlineLevel="0" collapsed="false">
      <c r="A20" s="7" t="s">
        <v>31</v>
      </c>
      <c r="B20" s="8" t="n">
        <f aca="false">IFERROR(ROUND(50000/(1+EXP(-0.05*(B5-156))),0),0)</f>
        <v>20</v>
      </c>
      <c r="C20" s="8" t="s">
        <v>32</v>
      </c>
      <c r="D20" s="9" t="s">
        <v>33</v>
      </c>
    </row>
    <row r="21" customFormat="false" ht="15" hidden="false" customHeight="true" outlineLevel="0" collapsed="false">
      <c r="A21" s="10" t="s">
        <v>34</v>
      </c>
      <c r="B21" s="11" t="n">
        <f aca="false">IF(B5&gt;=400,5,IF(B5&gt;=260,4,IF(B5&gt;=160,3,IF(B5&gt;=80,2,1))))</f>
        <v>1</v>
      </c>
      <c r="C21" s="11" t="s">
        <v>35</v>
      </c>
      <c r="D21" s="12" t="s">
        <v>36</v>
      </c>
    </row>
    <row r="22" customFormat="false" ht="15" hidden="false" customHeight="true" outlineLevel="0" collapsed="false">
      <c r="A22" s="7" t="s">
        <v>37</v>
      </c>
      <c r="B22" s="8" t="n">
        <f aca="false">IF(B5&gt;=624,5,IF(B5&gt;=312,4,IF(B5&gt;=208,3,IF(B5&gt;=156,2,1))))</f>
        <v>1</v>
      </c>
      <c r="C22" s="8" t="s">
        <v>35</v>
      </c>
      <c r="D22" s="9" t="s">
        <v>38</v>
      </c>
    </row>
    <row r="23" customFormat="false" ht="15" hidden="false" customHeight="true" outlineLevel="0" collapsed="false">
      <c r="A23" s="10" t="s">
        <v>152</v>
      </c>
      <c r="B23" s="11" t="n">
        <f aca="false">IF(B5&gt;=52,3,IF(B5&gt;=44,2,IF(B5&gt;=36,1,0)))</f>
        <v>0</v>
      </c>
      <c r="C23" s="11" t="s">
        <v>40</v>
      </c>
      <c r="D23" s="12" t="s">
        <v>153</v>
      </c>
    </row>
    <row r="24" customFormat="false" ht="15" hidden="false" customHeight="true" outlineLevel="0" collapsed="false">
      <c r="A24" s="7" t="s">
        <v>42</v>
      </c>
      <c r="B24" s="8" t="n">
        <f aca="false">ROUND(MIN(0.05+B5/3000,1),3)</f>
        <v>0.05</v>
      </c>
      <c r="C24" s="8" t="s">
        <v>43</v>
      </c>
      <c r="D24" s="9" t="s">
        <v>44</v>
      </c>
    </row>
    <row r="25" customFormat="false" ht="15" hidden="false" customHeight="true" outlineLevel="0" collapsed="false">
      <c r="A25" s="10" t="s">
        <v>45</v>
      </c>
      <c r="B25" s="11" t="n">
        <f aca="false">MIN(INT(B4*0.96),200000)</f>
        <v>0</v>
      </c>
      <c r="C25" s="11" t="s">
        <v>46</v>
      </c>
      <c r="D25" s="12" t="s">
        <v>47</v>
      </c>
    </row>
    <row r="26" customFormat="false" ht="15" hidden="false" customHeight="true" outlineLevel="0" collapsed="false">
      <c r="A26" s="7" t="s">
        <v>56</v>
      </c>
      <c r="B26" s="8" t="str">
        <f aca="false">IF(B4&gt;=96000,"✅ ACTIVE — Wisdom Engine online","⏳ Pending Tick 96,000")</f>
        <v>⏳ Pending Tick 96,000</v>
      </c>
      <c r="C26" s="8"/>
      <c r="D26" s="9" t="s">
        <v>57</v>
      </c>
    </row>
    <row r="27" customFormat="false" ht="15" hidden="false" customHeight="true" outlineLevel="0" collapsed="false">
      <c r="A27" s="10" t="s">
        <v>58</v>
      </c>
      <c r="B27" s="11" t="n">
        <f aca="false">IF(B4&gt;=96000,ROUND(MIN(0.1+((B5-1200)/800)*0.9,1),3),0)</f>
        <v>0</v>
      </c>
      <c r="C27" s="11" t="s">
        <v>43</v>
      </c>
      <c r="D27" s="12" t="s">
        <v>59</v>
      </c>
    </row>
    <row r="28" customFormat="false" ht="15" hidden="false" customHeight="true" outlineLevel="0" collapsed="false">
      <c r="A28" s="7" t="s">
        <v>54</v>
      </c>
      <c r="B28" s="8" t="str">
        <f aca="false">IF(MOD(B4,800)=0,"💤 Sleep",IF(MOD(B4,10)=0,"🔁 Repetition",IF(MOD(B4,5)=0,"🤝 Interaction","👁️ Exposure")))</f>
        <v>💤 Sleep</v>
      </c>
      <c r="C28" s="8"/>
      <c r="D28" s="9" t="s">
        <v>55</v>
      </c>
    </row>
    <row r="31" customFormat="false" ht="15" hidden="false" customHeight="true" outlineLevel="0" collapsed="false">
      <c r="A31" s="5" t="s">
        <v>154</v>
      </c>
    </row>
    <row r="32" customFormat="false" ht="15" hidden="false" customHeight="true" outlineLevel="0" collapsed="false">
      <c r="A32" s="6" t="s">
        <v>155</v>
      </c>
      <c r="B32" s="6" t="s">
        <v>156</v>
      </c>
    </row>
    <row r="33" customFormat="false" ht="15" hidden="false" customHeight="true" outlineLevel="0" collapsed="false">
      <c r="A33" s="13" t="n">
        <v>0</v>
      </c>
      <c r="B33" s="13" t="s">
        <v>157</v>
      </c>
    </row>
    <row r="34" customFormat="false" ht="15" hidden="false" customHeight="true" outlineLevel="0" collapsed="false">
      <c r="A34" s="14" t="n">
        <v>4</v>
      </c>
      <c r="B34" s="14" t="s">
        <v>158</v>
      </c>
    </row>
    <row r="35" customFormat="false" ht="15" hidden="false" customHeight="true" outlineLevel="0" collapsed="false">
      <c r="A35" s="13" t="n">
        <v>12</v>
      </c>
      <c r="B35" s="13" t="s">
        <v>159</v>
      </c>
    </row>
    <row r="36" customFormat="false" ht="15" hidden="false" customHeight="true" outlineLevel="0" collapsed="false">
      <c r="A36" s="14" t="n">
        <v>28</v>
      </c>
      <c r="B36" s="14" t="s">
        <v>160</v>
      </c>
    </row>
    <row r="37" customFormat="false" ht="15" hidden="false" customHeight="true" outlineLevel="0" collapsed="false">
      <c r="A37" s="13" t="n">
        <v>40</v>
      </c>
      <c r="B37" s="13" t="s">
        <v>161</v>
      </c>
    </row>
    <row r="38" customFormat="false" ht="15" hidden="false" customHeight="true" outlineLevel="0" collapsed="false">
      <c r="A38" s="14" t="n">
        <v>52</v>
      </c>
      <c r="B38" s="14" t="s">
        <v>162</v>
      </c>
    </row>
    <row r="39" customFormat="false" ht="15" hidden="false" customHeight="true" outlineLevel="0" collapsed="false">
      <c r="A39" s="13" t="n">
        <v>80</v>
      </c>
      <c r="B39" s="13" t="s">
        <v>163</v>
      </c>
    </row>
    <row r="40" customFormat="false" ht="15" hidden="false" customHeight="true" outlineLevel="0" collapsed="false">
      <c r="A40" s="14" t="n">
        <v>156</v>
      </c>
      <c r="B40" s="14" t="s">
        <v>164</v>
      </c>
    </row>
    <row r="41" customFormat="false" ht="15" hidden="false" customHeight="true" outlineLevel="0" collapsed="false">
      <c r="A41" s="13" t="n">
        <v>260</v>
      </c>
      <c r="B41" s="13" t="s">
        <v>165</v>
      </c>
    </row>
    <row r="42" customFormat="false" ht="15" hidden="false" customHeight="true" outlineLevel="0" collapsed="false">
      <c r="A42" s="14" t="n">
        <v>624</v>
      </c>
      <c r="B42" s="14" t="s">
        <v>166</v>
      </c>
    </row>
    <row r="43" customFormat="false" ht="15" hidden="false" customHeight="true" outlineLevel="0" collapsed="false">
      <c r="A43" s="13" t="n">
        <v>936</v>
      </c>
      <c r="B43" s="13" t="s">
        <v>167</v>
      </c>
    </row>
    <row r="44" customFormat="false" ht="15" hidden="false" customHeight="true" outlineLevel="0" collapsed="false">
      <c r="A44" s="14" t="n">
        <v>1000</v>
      </c>
      <c r="B44" s="14" t="s">
        <v>168</v>
      </c>
    </row>
    <row r="45" customFormat="false" ht="15" hidden="false" customHeight="true" outlineLevel="0" collapsed="false">
      <c r="A45" s="13" t="n">
        <v>1100</v>
      </c>
      <c r="B45" s="13" t="s">
        <v>169</v>
      </c>
    </row>
    <row r="46" customFormat="false" ht="15" hidden="false" customHeight="true" outlineLevel="0" collapsed="false">
      <c r="A46" s="14" t="n">
        <v>1200</v>
      </c>
      <c r="B46" s="14" t="s">
        <v>170</v>
      </c>
    </row>
    <row r="47" customFormat="false" ht="15" hidden="false" customHeight="true" outlineLevel="0" collapsed="false">
      <c r="A47" s="13" t="n">
        <v>1400</v>
      </c>
      <c r="B47" s="13" t="s">
        <v>171</v>
      </c>
    </row>
    <row r="50" customFormat="false" ht="15" hidden="false" customHeight="true" outlineLevel="0" collapsed="false">
      <c r="A50" s="5" t="s">
        <v>172</v>
      </c>
    </row>
    <row r="51" customFormat="false" ht="23.25" hidden="false" customHeight="true" outlineLevel="0" collapsed="false">
      <c r="A51" s="6" t="s">
        <v>173</v>
      </c>
      <c r="B51" s="6" t="s">
        <v>174</v>
      </c>
      <c r="C51" s="6" t="s">
        <v>41</v>
      </c>
      <c r="D51" s="6" t="s">
        <v>175</v>
      </c>
      <c r="E51" s="6" t="s">
        <v>176</v>
      </c>
      <c r="F51" s="6" t="s">
        <v>177</v>
      </c>
      <c r="G51" s="6" t="s">
        <v>178</v>
      </c>
      <c r="H51" s="6" t="s">
        <v>179</v>
      </c>
    </row>
    <row r="52" customFormat="false" ht="45.75" hidden="false" customHeight="true" outlineLevel="0" collapsed="false">
      <c r="A52" s="13" t="n">
        <v>0</v>
      </c>
      <c r="B52" s="13" t="n">
        <v>0</v>
      </c>
      <c r="C52" s="13" t="s">
        <v>157</v>
      </c>
      <c r="D52" s="13" t="s">
        <v>180</v>
      </c>
      <c r="E52" s="13" t="n">
        <v>0.01</v>
      </c>
      <c r="F52" s="13" t="n">
        <v>0</v>
      </c>
      <c r="G52" s="13" t="n">
        <v>0</v>
      </c>
      <c r="H52" s="13" t="s">
        <v>181</v>
      </c>
    </row>
    <row r="53" customFormat="false" ht="34.5" hidden="false" customHeight="true" outlineLevel="0" collapsed="false">
      <c r="A53" s="14" t="n">
        <v>320</v>
      </c>
      <c r="B53" s="14" t="n">
        <v>4</v>
      </c>
      <c r="C53" s="14" t="s">
        <v>158</v>
      </c>
      <c r="D53" s="14" t="s">
        <v>182</v>
      </c>
      <c r="E53" s="14" t="n">
        <v>0.1</v>
      </c>
      <c r="F53" s="14" t="n">
        <v>0.05</v>
      </c>
      <c r="G53" s="14" t="n">
        <v>0</v>
      </c>
      <c r="H53" s="14" t="s">
        <v>183</v>
      </c>
    </row>
    <row r="54" customFormat="false" ht="23.25" hidden="false" customHeight="true" outlineLevel="0" collapsed="false">
      <c r="A54" s="13" t="n">
        <v>640</v>
      </c>
      <c r="B54" s="13" t="n">
        <v>8</v>
      </c>
      <c r="C54" s="13" t="s">
        <v>158</v>
      </c>
      <c r="D54" s="13" t="s">
        <v>184</v>
      </c>
      <c r="E54" s="13" t="n">
        <v>0.25</v>
      </c>
      <c r="F54" s="13" t="n">
        <v>0.1</v>
      </c>
      <c r="G54" s="13" t="n">
        <v>0.05</v>
      </c>
      <c r="H54" s="13" t="s">
        <v>185</v>
      </c>
    </row>
    <row r="55" customFormat="false" ht="45.75" hidden="false" customHeight="true" outlineLevel="0" collapsed="false">
      <c r="A55" s="14" t="n">
        <v>960</v>
      </c>
      <c r="B55" s="14" t="n">
        <v>12</v>
      </c>
      <c r="C55" s="14" t="s">
        <v>159</v>
      </c>
      <c r="D55" s="14" t="s">
        <v>186</v>
      </c>
      <c r="E55" s="14" t="n">
        <v>0.4</v>
      </c>
      <c r="F55" s="14" t="n">
        <v>0.25</v>
      </c>
      <c r="G55" s="14" t="n">
        <v>0.2</v>
      </c>
      <c r="H55" s="14" t="s">
        <v>187</v>
      </c>
    </row>
    <row r="56" customFormat="false" ht="34.5" hidden="false" customHeight="true" outlineLevel="0" collapsed="false">
      <c r="A56" s="13" t="n">
        <v>1600</v>
      </c>
      <c r="B56" s="13" t="n">
        <v>20</v>
      </c>
      <c r="C56" s="13" t="s">
        <v>159</v>
      </c>
      <c r="D56" s="13" t="s">
        <v>188</v>
      </c>
      <c r="E56" s="13" t="n">
        <v>0.6</v>
      </c>
      <c r="F56" s="13" t="n">
        <v>0.4</v>
      </c>
      <c r="G56" s="13" t="n">
        <v>0.4</v>
      </c>
      <c r="H56" s="13" t="s">
        <v>189</v>
      </c>
    </row>
    <row r="57" customFormat="false" ht="23.25" hidden="false" customHeight="true" outlineLevel="0" collapsed="false">
      <c r="A57" s="14" t="n">
        <v>2240</v>
      </c>
      <c r="B57" s="14" t="n">
        <v>28</v>
      </c>
      <c r="C57" s="14" t="s">
        <v>160</v>
      </c>
      <c r="D57" s="14" t="s">
        <v>190</v>
      </c>
      <c r="E57" s="14" t="n">
        <v>0.8</v>
      </c>
      <c r="F57" s="14" t="n">
        <v>0.6</v>
      </c>
      <c r="G57" s="14" t="n">
        <v>0.6</v>
      </c>
      <c r="H57" s="14" t="s">
        <v>191</v>
      </c>
    </row>
    <row r="58" customFormat="false" ht="57" hidden="false" customHeight="true" outlineLevel="0" collapsed="false">
      <c r="A58" s="13" t="n">
        <v>2880</v>
      </c>
      <c r="B58" s="13" t="n">
        <v>36</v>
      </c>
      <c r="C58" s="13" t="s">
        <v>160</v>
      </c>
      <c r="D58" s="13" t="s">
        <v>192</v>
      </c>
      <c r="E58" s="13" t="n">
        <v>0.95</v>
      </c>
      <c r="F58" s="13" t="n">
        <v>0.8</v>
      </c>
      <c r="G58" s="13" t="n">
        <v>0.8</v>
      </c>
      <c r="H58" s="13" t="s">
        <v>193</v>
      </c>
    </row>
    <row r="59" customFormat="false" ht="68.25" hidden="false" customHeight="true" outlineLevel="0" collapsed="false">
      <c r="A59" s="14" t="n">
        <v>3200</v>
      </c>
      <c r="B59" s="14" t="n">
        <v>40</v>
      </c>
      <c r="C59" s="14" t="s">
        <v>161</v>
      </c>
      <c r="D59" s="14" t="s">
        <v>194</v>
      </c>
      <c r="E59" s="14" t="n">
        <v>1</v>
      </c>
      <c r="F59" s="14" t="n">
        <v>1</v>
      </c>
      <c r="G59" s="14" t="n">
        <v>1</v>
      </c>
      <c r="H59" s="14" t="s">
        <v>195</v>
      </c>
    </row>
    <row r="60" customFormat="false" ht="34.5" hidden="false" customHeight="true" outlineLevel="0" collapsed="false">
      <c r="A60" s="13" t="n">
        <v>4160</v>
      </c>
      <c r="B60" s="13" t="n">
        <v>52</v>
      </c>
      <c r="C60" s="13" t="s">
        <v>162</v>
      </c>
      <c r="D60" s="13" t="s">
        <v>196</v>
      </c>
      <c r="E60" s="13" t="n">
        <v>1</v>
      </c>
      <c r="F60" s="13" t="n">
        <v>1</v>
      </c>
      <c r="G60" s="13" t="n">
        <v>1</v>
      </c>
      <c r="H60" s="13" t="s">
        <v>197</v>
      </c>
    </row>
    <row r="61" customFormat="false" ht="57" hidden="false" customHeight="true" outlineLevel="0" collapsed="false">
      <c r="A61" s="14" t="n">
        <v>6400</v>
      </c>
      <c r="B61" s="14" t="n">
        <v>80</v>
      </c>
      <c r="C61" s="14" t="s">
        <v>163</v>
      </c>
      <c r="D61" s="14" t="s">
        <v>196</v>
      </c>
      <c r="E61" s="14" t="n">
        <v>1</v>
      </c>
      <c r="F61" s="14" t="n">
        <v>1</v>
      </c>
      <c r="G61" s="14" t="n">
        <v>1</v>
      </c>
      <c r="H61" s="14" t="s">
        <v>198</v>
      </c>
    </row>
    <row r="62" customFormat="false" ht="57" hidden="false" customHeight="true" outlineLevel="0" collapsed="false">
      <c r="A62" s="13" t="n">
        <v>10000</v>
      </c>
      <c r="B62" s="13" t="n">
        <v>125</v>
      </c>
      <c r="C62" s="13" t="s">
        <v>163</v>
      </c>
      <c r="D62" s="13" t="s">
        <v>199</v>
      </c>
      <c r="E62" s="13" t="n">
        <v>1</v>
      </c>
      <c r="F62" s="13" t="n">
        <v>1</v>
      </c>
      <c r="G62" s="13" t="n">
        <v>1</v>
      </c>
      <c r="H62" s="13" t="s">
        <v>200</v>
      </c>
    </row>
    <row r="63" customFormat="false" ht="23.25" hidden="false" customHeight="true" outlineLevel="0" collapsed="false">
      <c r="A63" s="14" t="n">
        <v>12480</v>
      </c>
      <c r="B63" s="14" t="n">
        <v>156</v>
      </c>
      <c r="C63" s="14" t="s">
        <v>164</v>
      </c>
      <c r="D63" s="14" t="s">
        <v>199</v>
      </c>
      <c r="E63" s="14" t="n">
        <v>1</v>
      </c>
      <c r="F63" s="14" t="n">
        <v>1</v>
      </c>
      <c r="G63" s="14" t="n">
        <v>1</v>
      </c>
      <c r="H63" s="14" t="s">
        <v>201</v>
      </c>
    </row>
    <row r="64" customFormat="false" ht="45.75" hidden="false" customHeight="true" outlineLevel="0" collapsed="false">
      <c r="A64" s="13" t="n">
        <v>16640</v>
      </c>
      <c r="B64" s="13" t="n">
        <v>208</v>
      </c>
      <c r="C64" s="13" t="s">
        <v>164</v>
      </c>
      <c r="D64" s="13" t="s">
        <v>199</v>
      </c>
      <c r="E64" s="13" t="n">
        <v>1</v>
      </c>
      <c r="F64" s="13" t="n">
        <v>1</v>
      </c>
      <c r="G64" s="13" t="n">
        <v>1</v>
      </c>
      <c r="H64" s="13" t="s">
        <v>202</v>
      </c>
    </row>
    <row r="65" customFormat="false" ht="34.5" hidden="false" customHeight="true" outlineLevel="0" collapsed="false">
      <c r="A65" s="14" t="n">
        <v>24960</v>
      </c>
      <c r="B65" s="14" t="n">
        <v>312</v>
      </c>
      <c r="C65" s="14" t="s">
        <v>165</v>
      </c>
      <c r="D65" s="14" t="s">
        <v>199</v>
      </c>
      <c r="E65" s="14" t="n">
        <v>1</v>
      </c>
      <c r="F65" s="14" t="n">
        <v>1</v>
      </c>
      <c r="G65" s="14" t="n">
        <v>1</v>
      </c>
      <c r="H65" s="14" t="s">
        <v>203</v>
      </c>
    </row>
    <row r="66" customFormat="false" ht="34.5" hidden="false" customHeight="true" outlineLevel="0" collapsed="false">
      <c r="A66" s="13" t="n">
        <v>32000</v>
      </c>
      <c r="B66" s="13" t="n">
        <v>400</v>
      </c>
      <c r="C66" s="13" t="s">
        <v>165</v>
      </c>
      <c r="D66" s="13" t="s">
        <v>199</v>
      </c>
      <c r="E66" s="13" t="n">
        <v>1</v>
      </c>
      <c r="F66" s="13" t="n">
        <v>1</v>
      </c>
      <c r="G66" s="13" t="n">
        <v>1</v>
      </c>
      <c r="H66" s="13" t="s">
        <v>204</v>
      </c>
    </row>
    <row r="67" customFormat="false" ht="68.25" hidden="false" customHeight="true" outlineLevel="0" collapsed="false">
      <c r="A67" s="14" t="n">
        <v>49920</v>
      </c>
      <c r="B67" s="14" t="n">
        <v>624</v>
      </c>
      <c r="C67" s="14" t="s">
        <v>166</v>
      </c>
      <c r="D67" s="14" t="s">
        <v>205</v>
      </c>
      <c r="E67" s="14" t="n">
        <v>1</v>
      </c>
      <c r="F67" s="14" t="n">
        <v>1</v>
      </c>
      <c r="G67" s="14" t="n">
        <v>1</v>
      </c>
      <c r="H67" s="14" t="s">
        <v>206</v>
      </c>
    </row>
    <row r="68" customFormat="false" ht="57" hidden="false" customHeight="true" outlineLevel="0" collapsed="false">
      <c r="A68" s="13" t="n">
        <v>74880</v>
      </c>
      <c r="B68" s="13" t="n">
        <v>936</v>
      </c>
      <c r="C68" s="13" t="s">
        <v>167</v>
      </c>
      <c r="D68" s="13" t="s">
        <v>207</v>
      </c>
      <c r="E68" s="13" t="n">
        <v>1</v>
      </c>
      <c r="F68" s="13" t="n">
        <v>1</v>
      </c>
      <c r="G68" s="13" t="n">
        <v>1</v>
      </c>
      <c r="H68" s="13" t="s">
        <v>208</v>
      </c>
    </row>
    <row r="69" customFormat="false" ht="68.25" hidden="false" customHeight="true" outlineLevel="0" collapsed="false">
      <c r="A69" s="14" t="n">
        <v>96000</v>
      </c>
      <c r="B69" s="14" t="n">
        <v>1200</v>
      </c>
      <c r="C69" s="14" t="s">
        <v>170</v>
      </c>
      <c r="D69" s="14" t="s">
        <v>207</v>
      </c>
      <c r="E69" s="14" t="n">
        <v>1</v>
      </c>
      <c r="F69" s="14" t="n">
        <v>1</v>
      </c>
      <c r="G69" s="14" t="n">
        <v>1</v>
      </c>
      <c r="H69" s="14" t="s">
        <v>209</v>
      </c>
    </row>
    <row r="70" customFormat="false" ht="34.5" hidden="false" customHeight="true" outlineLevel="0" collapsed="false">
      <c r="A70" s="13" t="n">
        <v>160000</v>
      </c>
      <c r="B70" s="13" t="n">
        <v>2000</v>
      </c>
      <c r="C70" s="13" t="s">
        <v>170</v>
      </c>
      <c r="D70" s="13" t="s">
        <v>207</v>
      </c>
      <c r="E70" s="13" t="n">
        <v>1</v>
      </c>
      <c r="F70" s="13" t="n">
        <v>1</v>
      </c>
      <c r="G70" s="13" t="n">
        <v>1</v>
      </c>
      <c r="H70" s="13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22"/>
    <col collapsed="false" customWidth="true" hidden="false" outlineLevel="0" max="7" min="5" style="1" width="18"/>
    <col collapsed="false" customWidth="true" hidden="false" outlineLevel="0" max="8" min="8" style="1" width="22"/>
  </cols>
  <sheetData>
    <row r="1" customFormat="false" ht="35.25" hidden="false" customHeight="true" outlineLevel="0" collapsed="false">
      <c r="A1" s="16" t="s">
        <v>211</v>
      </c>
    </row>
    <row r="2" customFormat="false" ht="32.25" hidden="false" customHeight="true" outlineLevel="0" collapsed="false">
      <c r="A2" s="3" t="s">
        <v>212</v>
      </c>
    </row>
    <row r="3" customFormat="false" ht="30" hidden="false" customHeight="true" outlineLevel="0" collapsed="false">
      <c r="A3" s="4" t="s">
        <v>213</v>
      </c>
    </row>
    <row r="5" customFormat="false" ht="15" hidden="false" customHeight="true" outlineLevel="0" collapsed="false">
      <c r="A5" s="17" t="s">
        <v>214</v>
      </c>
    </row>
    <row r="6" customFormat="false" ht="15" hidden="false" customHeight="true" outlineLevel="0" collapsed="false">
      <c r="A6" s="18" t="s">
        <v>4</v>
      </c>
      <c r="B6" s="18" t="s">
        <v>5</v>
      </c>
      <c r="C6" s="18" t="s">
        <v>6</v>
      </c>
      <c r="D6" s="18" t="s">
        <v>215</v>
      </c>
    </row>
    <row r="7" customFormat="false" ht="15" hidden="false" customHeight="true" outlineLevel="0" collapsed="false">
      <c r="A7" s="13" t="s">
        <v>8</v>
      </c>
      <c r="B7" s="13" t="n">
        <f aca="false">'🧬 DNA Loop Engine'!B4</f>
        <v>0</v>
      </c>
      <c r="C7" s="13" t="s">
        <v>9</v>
      </c>
      <c r="D7" s="13"/>
    </row>
    <row r="8" customFormat="false" ht="15" hidden="false" customHeight="true" outlineLevel="0" collapsed="false">
      <c r="A8" s="14" t="s">
        <v>11</v>
      </c>
      <c r="B8" s="14" t="n">
        <f aca="false">'🧬 DNA Loop Engine'!B5</f>
        <v>0</v>
      </c>
      <c r="C8" s="14" t="s">
        <v>12</v>
      </c>
      <c r="D8" s="14"/>
    </row>
    <row r="9" customFormat="false" ht="15" hidden="false" customHeight="true" outlineLevel="0" collapsed="false">
      <c r="A9" s="13" t="s">
        <v>14</v>
      </c>
      <c r="B9" s="13" t="n">
        <f aca="false">'🧬 DNA Loop Engine'!B15</f>
        <v>0</v>
      </c>
      <c r="C9" s="13"/>
      <c r="D9" s="13"/>
    </row>
    <row r="10" customFormat="false" ht="15" hidden="false" customHeight="true" outlineLevel="0" collapsed="false">
      <c r="A10" s="14" t="s">
        <v>16</v>
      </c>
      <c r="B10" s="14" t="n">
        <f aca="false">'🧬 DNA Loop Engine'!B16</f>
        <v>0</v>
      </c>
      <c r="C10" s="14"/>
      <c r="D10" s="14"/>
    </row>
    <row r="11" customFormat="false" ht="15" hidden="false" customHeight="true" outlineLevel="0" collapsed="false">
      <c r="A11" s="13" t="s">
        <v>18</v>
      </c>
      <c r="B11" s="13" t="n">
        <f aca="false">'🧬 DNA Loop Engine'!B8</f>
        <v>0</v>
      </c>
      <c r="C11" s="13"/>
      <c r="D11" s="13"/>
    </row>
    <row r="12" customFormat="false" ht="15" hidden="false" customHeight="true" outlineLevel="0" collapsed="false">
      <c r="A12" s="14" t="s">
        <v>20</v>
      </c>
      <c r="B12" s="14" t="n">
        <f aca="false">'🧬 DNA Loop Engine'!B22</f>
        <v>1</v>
      </c>
      <c r="C12" s="14"/>
      <c r="D12" s="14"/>
    </row>
    <row r="13" customFormat="false" ht="15" hidden="false" customHeight="true" outlineLevel="0" collapsed="false">
      <c r="A13" s="13" t="s">
        <v>48</v>
      </c>
      <c r="B13" s="13" t="n">
        <f aca="false">'🧬 DNA Loop Engine'!B18</f>
        <v>0.9</v>
      </c>
      <c r="C13" s="13" t="s">
        <v>43</v>
      </c>
      <c r="D13" s="13"/>
    </row>
    <row r="14" customFormat="false" ht="15" hidden="false" customHeight="true" outlineLevel="0" collapsed="false">
      <c r="A14" s="14" t="s">
        <v>28</v>
      </c>
      <c r="B14" s="14" t="n">
        <f aca="false">'🧬 DNA Loop Engine'!B27</f>
        <v>0</v>
      </c>
      <c r="C14" s="14" t="s">
        <v>29</v>
      </c>
      <c r="D14" s="14"/>
    </row>
    <row r="15" customFormat="false" ht="15" hidden="false" customHeight="true" outlineLevel="0" collapsed="false">
      <c r="A15" s="13" t="s">
        <v>22</v>
      </c>
      <c r="B15" s="13" t="n">
        <f aca="false">'🧬 DNA Loop Engine'!B29</f>
        <v>0</v>
      </c>
      <c r="C15" s="13" t="s">
        <v>23</v>
      </c>
      <c r="D15" s="13"/>
    </row>
    <row r="16" customFormat="false" ht="15" hidden="false" customHeight="true" outlineLevel="0" collapsed="false">
      <c r="A16" s="14" t="s">
        <v>25</v>
      </c>
      <c r="B16" s="14" t="n">
        <f aca="false">'🧬 DNA Loop Engine'!B30</f>
        <v>0</v>
      </c>
      <c r="C16" s="14" t="s">
        <v>26</v>
      </c>
      <c r="D16" s="14"/>
    </row>
    <row r="17" customFormat="false" ht="15" hidden="false" customHeight="true" outlineLevel="0" collapsed="false">
      <c r="A17" s="13" t="s">
        <v>50</v>
      </c>
      <c r="B17" s="13" t="n">
        <f aca="false">'🧬 DNA Loop Engine'!B19</f>
        <v>0.06</v>
      </c>
      <c r="C17" s="13" t="s">
        <v>43</v>
      </c>
      <c r="D17" s="13"/>
    </row>
    <row r="18" customFormat="false" ht="15" hidden="false" customHeight="true" outlineLevel="0" collapsed="false">
      <c r="A18" s="14" t="s">
        <v>52</v>
      </c>
      <c r="B18" s="14" t="n">
        <f aca="false">'🧬 DNA Loop Engine'!B20</f>
        <v>20</v>
      </c>
      <c r="C18" s="14" t="s">
        <v>43</v>
      </c>
      <c r="D18" s="14"/>
    </row>
    <row r="21" customFormat="false" ht="27.75" hidden="false" customHeight="true" outlineLevel="0" collapsed="false">
      <c r="A21" s="17" t="s">
        <v>216</v>
      </c>
    </row>
    <row r="22" customFormat="false" ht="15" hidden="false" customHeight="true" outlineLevel="0" collapsed="false">
      <c r="A22" s="18" t="s">
        <v>61</v>
      </c>
      <c r="B22" s="18" t="s">
        <v>64</v>
      </c>
      <c r="C22" s="18" t="s">
        <v>217</v>
      </c>
      <c r="D22" s="18" t="s">
        <v>218</v>
      </c>
      <c r="E22" s="18" t="s">
        <v>219</v>
      </c>
      <c r="F22" s="18" t="s">
        <v>220</v>
      </c>
      <c r="G22" s="18" t="s">
        <v>221</v>
      </c>
      <c r="H22" s="18" t="s">
        <v>66</v>
      </c>
    </row>
    <row r="23" customFormat="false" ht="15" hidden="false" customHeight="true" outlineLevel="0" collapsed="false">
      <c r="A23" s="13" t="n">
        <v>1</v>
      </c>
      <c r="B23" s="13" t="s">
        <v>222</v>
      </c>
      <c r="C23" s="13" t="s">
        <v>223</v>
      </c>
      <c r="D23" s="13" t="s">
        <v>224</v>
      </c>
      <c r="E23" s="13" t="s">
        <v>180</v>
      </c>
      <c r="F23" s="13" t="s">
        <v>225</v>
      </c>
      <c r="G23" s="13" t="s">
        <v>226</v>
      </c>
      <c r="H23" s="13" t="str">
        <f aca="false">IF('🧬 DNA Loop Engine'!B5&gt;=4,"✅ Complete",IF('🧬 DNA Loop Engine'!B5&gt;=0,"🔄 Active","⏳"))</f>
        <v>🔄 Active</v>
      </c>
    </row>
    <row r="24" customFormat="false" ht="23.25" hidden="false" customHeight="true" outlineLevel="0" collapsed="false">
      <c r="A24" s="14" t="n">
        <v>2</v>
      </c>
      <c r="B24" s="14" t="s">
        <v>227</v>
      </c>
      <c r="C24" s="14" t="s">
        <v>228</v>
      </c>
      <c r="D24" s="14" t="s">
        <v>229</v>
      </c>
      <c r="E24" s="14" t="s">
        <v>182</v>
      </c>
      <c r="F24" s="14" t="s">
        <v>230</v>
      </c>
      <c r="G24" s="14" t="s">
        <v>231</v>
      </c>
      <c r="H24" s="14" t="str">
        <f aca="false">IF('🧬 DNA Loop Engine'!B5&gt;=8,"✅ Complete",IF('🧬 DNA Loop Engine'!B5&gt;=4,"🔄 Active","⏳"))</f>
        <v>⏳</v>
      </c>
    </row>
    <row r="25" customFormat="false" ht="15" hidden="false" customHeight="true" outlineLevel="0" collapsed="false">
      <c r="A25" s="13" t="n">
        <v>3</v>
      </c>
      <c r="B25" s="13" t="s">
        <v>232</v>
      </c>
      <c r="C25" s="13" t="s">
        <v>233</v>
      </c>
      <c r="D25" s="13" t="s">
        <v>234</v>
      </c>
      <c r="E25" s="13" t="s">
        <v>184</v>
      </c>
      <c r="F25" s="13" t="s">
        <v>235</v>
      </c>
      <c r="G25" s="13" t="s">
        <v>236</v>
      </c>
      <c r="H25" s="13" t="str">
        <f aca="false">IF('🧬 DNA Loop Engine'!B5&gt;=12,"✅ Complete",IF('🧬 DNA Loop Engine'!B5&gt;=8,"🔄 Active","⏳"))</f>
        <v>⏳</v>
      </c>
    </row>
    <row r="26" customFormat="false" ht="23.25" hidden="false" customHeight="true" outlineLevel="0" collapsed="false">
      <c r="A26" s="14" t="n">
        <v>4</v>
      </c>
      <c r="B26" s="14" t="s">
        <v>237</v>
      </c>
      <c r="C26" s="14" t="s">
        <v>238</v>
      </c>
      <c r="D26" s="14" t="s">
        <v>239</v>
      </c>
      <c r="E26" s="14" t="s">
        <v>186</v>
      </c>
      <c r="F26" s="14" t="s">
        <v>240</v>
      </c>
      <c r="G26" s="14" t="s">
        <v>241</v>
      </c>
      <c r="H26" s="14" t="str">
        <f aca="false">IF('🧬 DNA Loop Engine'!B5&gt;=20,"✅ Complete",IF('🧬 DNA Loop Engine'!B5&gt;=12,"🔄 Active","⏳"))</f>
        <v>⏳</v>
      </c>
    </row>
    <row r="27" customFormat="false" ht="23.25" hidden="false" customHeight="true" outlineLevel="0" collapsed="false">
      <c r="A27" s="13" t="n">
        <v>5</v>
      </c>
      <c r="B27" s="13" t="s">
        <v>242</v>
      </c>
      <c r="C27" s="13" t="s">
        <v>243</v>
      </c>
      <c r="D27" s="13" t="s">
        <v>244</v>
      </c>
      <c r="E27" s="13" t="s">
        <v>188</v>
      </c>
      <c r="F27" s="13" t="s">
        <v>245</v>
      </c>
      <c r="G27" s="13" t="s">
        <v>246</v>
      </c>
      <c r="H27" s="13" t="str">
        <f aca="false">IF('🧬 DNA Loop Engine'!B5&gt;=28,"✅ Complete",IF('🧬 DNA Loop Engine'!B5&gt;=20,"🔄 Active","⏳"))</f>
        <v>⏳</v>
      </c>
    </row>
    <row r="28" customFormat="false" ht="23.25" hidden="false" customHeight="true" outlineLevel="0" collapsed="false">
      <c r="A28" s="14" t="n">
        <v>6</v>
      </c>
      <c r="B28" s="14" t="s">
        <v>247</v>
      </c>
      <c r="C28" s="14" t="s">
        <v>248</v>
      </c>
      <c r="D28" s="14" t="s">
        <v>249</v>
      </c>
      <c r="E28" s="14" t="s">
        <v>190</v>
      </c>
      <c r="F28" s="14" t="s">
        <v>250</v>
      </c>
      <c r="G28" s="14" t="s">
        <v>251</v>
      </c>
      <c r="H28" s="14" t="str">
        <f aca="false">IF('🧬 DNA Loop Engine'!B5&gt;=36,"✅ Complete",IF('🧬 DNA Loop Engine'!B5&gt;=28,"🔄 Active","⏳"))</f>
        <v>⏳</v>
      </c>
    </row>
    <row r="29" customFormat="false" ht="15" hidden="false" customHeight="true" outlineLevel="0" collapsed="false">
      <c r="A29" s="13" t="n">
        <v>7</v>
      </c>
      <c r="B29" s="13" t="s">
        <v>252</v>
      </c>
      <c r="C29" s="13" t="s">
        <v>253</v>
      </c>
      <c r="D29" s="13" t="s">
        <v>254</v>
      </c>
      <c r="E29" s="13" t="s">
        <v>192</v>
      </c>
      <c r="F29" s="13" t="s">
        <v>255</v>
      </c>
      <c r="G29" s="13" t="s">
        <v>256</v>
      </c>
      <c r="H29" s="13" t="str">
        <f aca="false">IF('🧬 DNA Loop Engine'!B5&gt;=40,"✅ Complete",IF('🧬 DNA Loop Engine'!B5&gt;=36,"🔄 Active","⏳"))</f>
        <v>⏳</v>
      </c>
    </row>
    <row r="32" customFormat="false" ht="27.75" hidden="false" customHeight="true" outlineLevel="0" collapsed="false">
      <c r="A32" s="17" t="s">
        <v>257</v>
      </c>
    </row>
    <row r="33" customFormat="false" ht="15" hidden="false" customHeight="true" outlineLevel="0" collapsed="false">
      <c r="A33" s="18" t="s">
        <v>258</v>
      </c>
      <c r="B33" s="18" t="s">
        <v>259</v>
      </c>
      <c r="C33" s="18" t="s">
        <v>260</v>
      </c>
      <c r="D33" s="18" t="s">
        <v>261</v>
      </c>
      <c r="E33" s="18" t="s">
        <v>262</v>
      </c>
      <c r="F33" s="18" t="s">
        <v>66</v>
      </c>
    </row>
    <row r="34" customFormat="false" ht="15" hidden="false" customHeight="true" outlineLevel="0" collapsed="false">
      <c r="A34" s="13" t="s">
        <v>263</v>
      </c>
      <c r="B34" s="13" t="s">
        <v>264</v>
      </c>
      <c r="C34" s="13" t="s">
        <v>265</v>
      </c>
      <c r="D34" s="13" t="n">
        <v>40</v>
      </c>
      <c r="E34" s="13" t="str">
        <f aca="false">IF('🧬 DNA Loop Engine'!B4&gt;=3200,"Severed","Connected")</f>
        <v>Connected</v>
      </c>
      <c r="F34" s="13" t="str">
        <f aca="false">IF('🧬 DNA Loop Engine'!B4&gt;=3200,"✂️ SEVERED","🔗 CONNECTED")</f>
        <v>🔗 CONNECTED</v>
      </c>
    </row>
    <row r="35" customFormat="false" ht="15" hidden="false" customHeight="true" outlineLevel="0" collapsed="false">
      <c r="A35" s="14" t="s">
        <v>266</v>
      </c>
      <c r="B35" s="14" t="s">
        <v>267</v>
      </c>
      <c r="C35" s="14" t="s">
        <v>268</v>
      </c>
      <c r="D35" s="14" t="n">
        <v>40</v>
      </c>
      <c r="E35" s="14" t="str">
        <f aca="false">IF('🧬 DNA Loop Engine'!B4&gt;=3200,"Pulmonary","Placental")</f>
        <v>Placental</v>
      </c>
      <c r="F35" s="14" t="str">
        <f aca="false">IF('🧬 DNA Loop Engine'!B4&gt;=3200,"🫁 PULMONARY","🤰 PLACENTAL")</f>
        <v>🤰 PLACENTAL</v>
      </c>
    </row>
    <row r="36" customFormat="false" ht="15" hidden="false" customHeight="true" outlineLevel="0" collapsed="false">
      <c r="A36" s="13" t="s">
        <v>269</v>
      </c>
      <c r="B36" s="13" t="s">
        <v>270</v>
      </c>
      <c r="C36" s="13" t="s">
        <v>271</v>
      </c>
      <c r="D36" s="13" t="n">
        <v>40</v>
      </c>
      <c r="E36" s="13" t="str">
        <f aca="false">IF('🧬 DNA Loop Engine'!B4&gt;=3200,"Digestive","Umbilical")</f>
        <v>Umbilical</v>
      </c>
      <c r="F36" s="13" t="str">
        <f aca="false">IF('🧬 DNA Loop Engine'!B4&gt;=3200,"🍼 DIGESTIVE","🔗 UMBILICAL")</f>
        <v>🔗 UMBILICAL</v>
      </c>
    </row>
    <row r="37" customFormat="false" ht="15" hidden="false" customHeight="true" outlineLevel="0" collapsed="false">
      <c r="A37" s="14" t="s">
        <v>272</v>
      </c>
      <c r="B37" s="14" t="s">
        <v>273</v>
      </c>
      <c r="C37" s="14" t="s">
        <v>274</v>
      </c>
      <c r="D37" s="14" t="n">
        <v>40</v>
      </c>
      <c r="E37" s="14" t="str">
        <f aca="false">IF('🧬 DNA Loop Engine'!B4&gt;=3200,"Closed","Open")</f>
        <v>Open</v>
      </c>
      <c r="F37" s="14" t="str">
        <f aca="false">IF('🧬 DNA Loop Engine'!B4&gt;=3200,"🔒 CLOSED","🔓 OPEN")</f>
        <v>🔓 OPEN</v>
      </c>
    </row>
    <row r="38" customFormat="false" ht="15" hidden="false" customHeight="true" outlineLevel="0" collapsed="false">
      <c r="A38" s="13" t="s">
        <v>275</v>
      </c>
      <c r="B38" s="13" t="s">
        <v>273</v>
      </c>
      <c r="C38" s="13" t="s">
        <v>274</v>
      </c>
      <c r="D38" s="13" t="n">
        <v>40</v>
      </c>
      <c r="E38" s="13" t="str">
        <f aca="false">IF('🧬 DNA Loop Engine'!B4&gt;=3200,"Closed","Open")</f>
        <v>Open</v>
      </c>
      <c r="F38" s="13" t="str">
        <f aca="false">IF('🧬 DNA Loop Engine'!B4&gt;=3200,"🔒 CLOSED","🔓 OPEN")</f>
        <v>🔓 OPEN</v>
      </c>
    </row>
    <row r="39" customFormat="false" ht="15" hidden="false" customHeight="true" outlineLevel="0" collapsed="false">
      <c r="A39" s="14" t="s">
        <v>276</v>
      </c>
      <c r="B39" s="14" t="s">
        <v>277</v>
      </c>
      <c r="C39" s="14" t="s">
        <v>278</v>
      </c>
      <c r="D39" s="14" t="n">
        <v>40</v>
      </c>
      <c r="E39" s="14" t="str">
        <f aca="false">IF('🧬 DNA Loop Engine'!B4&gt;=3200,"Independent","Maternal-Synced")</f>
        <v>Maternal-Synced</v>
      </c>
      <c r="F39" s="14" t="str">
        <f aca="false">IF('🧬 DNA Loop Engine'!B4&gt;=3200,"💓 INDEPENDENT","🤰 MATERNAL-SYNCED")</f>
        <v>🤰 MATERNAL-SYNCED</v>
      </c>
    </row>
    <row r="40" customFormat="false" ht="15" hidden="false" customHeight="true" outlineLevel="0" collapsed="false">
      <c r="A40" s="13" t="s">
        <v>279</v>
      </c>
      <c r="B40" s="13" t="s">
        <v>280</v>
      </c>
      <c r="C40" s="13" t="s">
        <v>281</v>
      </c>
      <c r="D40" s="13" t="n">
        <v>40</v>
      </c>
      <c r="E40" s="13" t="str">
        <f aca="false">IF('🧬 DNA Loop Engine'!B4&gt;=3200,"Self-Regulated","Maternal")</f>
        <v>Maternal</v>
      </c>
      <c r="F40" s="13" t="str">
        <f aca="false">IF('🧬 DNA Loop Engine'!B4&gt;=3200,"🌡️ SELF-REG","🤰 MATERNAL")</f>
        <v>🤰 MATERNAL</v>
      </c>
    </row>
    <row r="41" customFormat="false" ht="15" hidden="false" customHeight="true" outlineLevel="0" collapsed="false">
      <c r="A41" s="14" t="s">
        <v>282</v>
      </c>
      <c r="B41" s="14" t="s">
        <v>283</v>
      </c>
      <c r="C41" s="14" t="s">
        <v>284</v>
      </c>
      <c r="D41" s="14" t="n">
        <v>40</v>
      </c>
      <c r="E41" s="14" t="str">
        <f aca="false">IF('🧬 DNA Loop Engine'!B4&gt;=3200,"Autonomous","Dormant")</f>
        <v>Dormant</v>
      </c>
      <c r="F41" s="14" t="str">
        <f aca="false">IF('🧬 DNA Loop Engine'!B4&gt;=3200,"🧠 ACTIVE","💤 DORMANT")</f>
        <v>💤 DORMANT</v>
      </c>
    </row>
    <row r="44" customFormat="false" ht="27.75" hidden="false" customHeight="true" outlineLevel="0" collapsed="false">
      <c r="A44" s="17" t="s">
        <v>285</v>
      </c>
    </row>
    <row r="45" customFormat="false" ht="15" hidden="false" customHeight="true" outlineLevel="0" collapsed="false">
      <c r="A45" s="18" t="s">
        <v>258</v>
      </c>
      <c r="B45" s="18" t="s">
        <v>110</v>
      </c>
      <c r="C45" s="18" t="s">
        <v>286</v>
      </c>
      <c r="D45" s="18" t="s">
        <v>287</v>
      </c>
      <c r="E45" s="18" t="s">
        <v>288</v>
      </c>
      <c r="F45" s="18" t="s">
        <v>289</v>
      </c>
      <c r="G45" s="18" t="s">
        <v>290</v>
      </c>
    </row>
    <row r="46" customFormat="false" ht="23.25" hidden="false" customHeight="true" outlineLevel="0" collapsed="false">
      <c r="A46" s="13" t="s">
        <v>230</v>
      </c>
      <c r="B46" s="13" t="s">
        <v>291</v>
      </c>
      <c r="C46" s="13" t="n">
        <v>6</v>
      </c>
      <c r="D46" s="13" t="n">
        <v>28</v>
      </c>
      <c r="E46" s="13" t="str">
        <f aca="false">IF('🧬 DNA Loop Engine'!B5&gt;=28,"✅ Mature",IF('🧬 DNA Loop Engine'!B5&gt;=6,"🔄 Growing","⏳"))</f>
        <v>⏳</v>
      </c>
      <c r="F46" s="13" t="str">
        <f aca="false">IF('🧬 DNA Loop Engine'!B5&gt;=28,"100%",IF('🧬 DNA Loop Engine'!B5&gt;=6,ROUND(('🧬 DNA Loop Engine'!B5-6)/(28-6)*100,0)&amp;"%","0%"))</f>
        <v>0%</v>
      </c>
      <c r="G46" s="13" t="s">
        <v>292</v>
      </c>
    </row>
    <row r="47" customFormat="false" ht="23.25" hidden="false" customHeight="true" outlineLevel="0" collapsed="false">
      <c r="A47" s="14" t="s">
        <v>255</v>
      </c>
      <c r="B47" s="14" t="s">
        <v>293</v>
      </c>
      <c r="C47" s="14" t="n">
        <v>8</v>
      </c>
      <c r="D47" s="14" t="n">
        <v>36</v>
      </c>
      <c r="E47" s="14" t="str">
        <f aca="false">IF('🧬 DNA Loop Engine'!B5&gt;=36,"✅ Mature",IF('🧬 DNA Loop Engine'!B5&gt;=8,"🔄 Growing","⏳"))</f>
        <v>⏳</v>
      </c>
      <c r="F47" s="14" t="str">
        <f aca="false">IF('🧬 DNA Loop Engine'!B5&gt;=36,"100%",IF('🧬 DNA Loop Engine'!B5&gt;=8,ROUND(('🧬 DNA Loop Engine'!B5-8)/(36-8)*100,0)&amp;"%","0%"))</f>
        <v>0%</v>
      </c>
      <c r="G47" s="14" t="s">
        <v>294</v>
      </c>
    </row>
    <row r="48" customFormat="false" ht="34.5" hidden="false" customHeight="true" outlineLevel="0" collapsed="false">
      <c r="A48" s="13" t="s">
        <v>295</v>
      </c>
      <c r="B48" s="13" t="s">
        <v>296</v>
      </c>
      <c r="C48" s="13" t="n">
        <v>4</v>
      </c>
      <c r="D48" s="13" t="n">
        <v>156</v>
      </c>
      <c r="E48" s="13" t="str">
        <f aca="false">IF('🧬 DNA Loop Engine'!B5&gt;=156,"✅ Mature",IF('🧬 DNA Loop Engine'!B5&gt;=4,"🔄 Growing","⏳"))</f>
        <v>⏳</v>
      </c>
      <c r="F48" s="13" t="str">
        <f aca="false">IF('🧬 DNA Loop Engine'!B5&gt;=156,"100%",IF('🧬 DNA Loop Engine'!B5&gt;=4,ROUND(('🧬 DNA Loop Engine'!B5-4)/(156-4)*100,0)&amp;"%","0%"))</f>
        <v>0%</v>
      </c>
      <c r="G48" s="13" t="s">
        <v>297</v>
      </c>
    </row>
    <row r="49" customFormat="false" ht="23.25" hidden="false" customHeight="true" outlineLevel="0" collapsed="false">
      <c r="A49" s="14" t="s">
        <v>298</v>
      </c>
      <c r="B49" s="14" t="s">
        <v>299</v>
      </c>
      <c r="C49" s="14" t="n">
        <v>4</v>
      </c>
      <c r="D49" s="14" t="n">
        <v>260</v>
      </c>
      <c r="E49" s="14" t="str">
        <f aca="false">IF('🧬 DNA Loop Engine'!B5&gt;=260,"✅ Mature",IF('🧬 DNA Loop Engine'!B5&gt;=4,"🔄 Growing","⏳"))</f>
        <v>⏳</v>
      </c>
      <c r="F49" s="14" t="str">
        <f aca="false">IF('🧬 DNA Loop Engine'!B5&gt;=260,"100%",IF('🧬 DNA Loop Engine'!B5&gt;=4,ROUND(('🧬 DNA Loop Engine'!B5-4)/(260-4)*100,0)&amp;"%","0%"))</f>
        <v>0%</v>
      </c>
      <c r="G49" s="14" t="s">
        <v>300</v>
      </c>
    </row>
    <row r="50" customFormat="false" ht="23.25" hidden="false" customHeight="true" outlineLevel="0" collapsed="false">
      <c r="A50" s="13" t="s">
        <v>301</v>
      </c>
      <c r="B50" s="13" t="s">
        <v>299</v>
      </c>
      <c r="C50" s="13" t="n">
        <v>8</v>
      </c>
      <c r="D50" s="13" t="n">
        <v>400</v>
      </c>
      <c r="E50" s="13" t="str">
        <f aca="false">IF('🧬 DNA Loop Engine'!B5&gt;=400,"✅ Mature",IF('🧬 DNA Loop Engine'!B5&gt;=8,"🔄 Growing","⏳"))</f>
        <v>⏳</v>
      </c>
      <c r="F50" s="13" t="str">
        <f aca="false">IF('🧬 DNA Loop Engine'!B5&gt;=400,"100%",IF('🧬 DNA Loop Engine'!B5&gt;=8,ROUND(('🧬 DNA Loop Engine'!B5-8)/(400-8)*100,0)&amp;"%","0%"))</f>
        <v>0%</v>
      </c>
      <c r="G50" s="13" t="s">
        <v>302</v>
      </c>
    </row>
    <row r="51" customFormat="false" ht="23.25" hidden="false" customHeight="true" outlineLevel="0" collapsed="false">
      <c r="A51" s="14" t="s">
        <v>271</v>
      </c>
      <c r="B51" s="14" t="s">
        <v>303</v>
      </c>
      <c r="C51" s="14" t="n">
        <v>8</v>
      </c>
      <c r="D51" s="14" t="n">
        <v>52</v>
      </c>
      <c r="E51" s="14" t="str">
        <f aca="false">IF('🧬 DNA Loop Engine'!B5&gt;=52,"✅ Mature",IF('🧬 DNA Loop Engine'!B5&gt;=8,"🔄 Growing","⏳"))</f>
        <v>⏳</v>
      </c>
      <c r="F51" s="14" t="str">
        <f aca="false">IF('🧬 DNA Loop Engine'!B5&gt;=52,"100%",IF('🧬 DNA Loop Engine'!B5&gt;=8,ROUND(('🧬 DNA Loop Engine'!B5-8)/(52-8)*100,0)&amp;"%","0%"))</f>
        <v>0%</v>
      </c>
      <c r="G51" s="14" t="s">
        <v>304</v>
      </c>
    </row>
    <row r="52" customFormat="false" ht="23.25" hidden="false" customHeight="true" outlineLevel="0" collapsed="false">
      <c r="A52" s="13" t="s">
        <v>305</v>
      </c>
      <c r="B52" s="13" t="s">
        <v>305</v>
      </c>
      <c r="C52" s="13" t="n">
        <v>12</v>
      </c>
      <c r="D52" s="13" t="n">
        <v>156</v>
      </c>
      <c r="E52" s="13" t="str">
        <f aca="false">IF('🧬 DNA Loop Engine'!B5&gt;=156,"✅ Mature",IF('🧬 DNA Loop Engine'!B5&gt;=12,"🔄 Growing","⏳"))</f>
        <v>⏳</v>
      </c>
      <c r="F52" s="13" t="str">
        <f aca="false">IF('🧬 DNA Loop Engine'!B5&gt;=156,"100%",IF('🧬 DNA Loop Engine'!B5&gt;=12,ROUND(('🧬 DNA Loop Engine'!B5-12)/(156-12)*100,0)&amp;"%","0%"))</f>
        <v>0%</v>
      </c>
      <c r="G52" s="13" t="s">
        <v>306</v>
      </c>
    </row>
    <row r="53" customFormat="false" ht="23.25" hidden="false" customHeight="true" outlineLevel="0" collapsed="false">
      <c r="A53" s="14" t="s">
        <v>307</v>
      </c>
      <c r="B53" s="14" t="s">
        <v>308</v>
      </c>
      <c r="C53" s="14" t="n">
        <v>8</v>
      </c>
      <c r="D53" s="14" t="n">
        <v>156</v>
      </c>
      <c r="E53" s="14" t="str">
        <f aca="false">IF('🧬 DNA Loop Engine'!B5&gt;=156,"✅ Mature",IF('🧬 DNA Loop Engine'!B5&gt;=8,"🔄 Growing","⏳"))</f>
        <v>⏳</v>
      </c>
      <c r="F53" s="14" t="str">
        <f aca="false">IF('🧬 DNA Loop Engine'!B5&gt;=156,"100%",IF('🧬 DNA Loop Engine'!B5&gt;=8,ROUND(('🧬 DNA Loop Engine'!B5-8)/(156-8)*100,0)&amp;"%","0%"))</f>
        <v>0%</v>
      </c>
      <c r="G53" s="14" t="s">
        <v>309</v>
      </c>
    </row>
    <row r="54" customFormat="false" ht="23.25" hidden="false" customHeight="true" outlineLevel="0" collapsed="false">
      <c r="A54" s="13" t="s">
        <v>310</v>
      </c>
      <c r="B54" s="13" t="s">
        <v>311</v>
      </c>
      <c r="C54" s="13" t="n">
        <v>20</v>
      </c>
      <c r="D54" s="13" t="n">
        <v>36</v>
      </c>
      <c r="E54" s="13" t="str">
        <f aca="false">IF('🧬 DNA Loop Engine'!B5&gt;=36,"✅ Mature",IF('🧬 DNA Loop Engine'!B5&gt;=20,"🔄 Growing","⏳"))</f>
        <v>⏳</v>
      </c>
      <c r="F54" s="13" t="str">
        <f aca="false">IF('🧬 DNA Loop Engine'!B5&gt;=36,"100%",IF('🧬 DNA Loop Engine'!B5&gt;=20,ROUND(('🧬 DNA Loop Engine'!B5-20)/(36-20)*100,0)&amp;"%","0%"))</f>
        <v>0%</v>
      </c>
      <c r="G54" s="13" t="s">
        <v>312</v>
      </c>
    </row>
    <row r="55" customFormat="false" ht="23.25" hidden="false" customHeight="true" outlineLevel="0" collapsed="false">
      <c r="A55" s="14" t="s">
        <v>313</v>
      </c>
      <c r="B55" s="14" t="s">
        <v>311</v>
      </c>
      <c r="C55" s="14" t="n">
        <v>20</v>
      </c>
      <c r="D55" s="14" t="n">
        <v>28</v>
      </c>
      <c r="E55" s="14" t="str">
        <f aca="false">IF('🧬 DNA Loop Engine'!B5&gt;=28,"✅ Mature",IF('🧬 DNA Loop Engine'!B5&gt;=20,"🔄 Growing","⏳"))</f>
        <v>⏳</v>
      </c>
      <c r="F55" s="14" t="str">
        <f aca="false">IF('🧬 DNA Loop Engine'!B5&gt;=28,"100%",IF('🧬 DNA Loop Engine'!B5&gt;=20,ROUND(('🧬 DNA Loop Engine'!B5-20)/(28-20)*100,0)&amp;"%","0%"))</f>
        <v>0%</v>
      </c>
      <c r="G55" s="14" t="s">
        <v>314</v>
      </c>
    </row>
    <row r="56" customFormat="false" ht="23.25" hidden="false" customHeight="true" outlineLevel="0" collapsed="false">
      <c r="A56" s="13" t="s">
        <v>315</v>
      </c>
      <c r="B56" s="13" t="s">
        <v>316</v>
      </c>
      <c r="C56" s="13" t="n">
        <v>8</v>
      </c>
      <c r="D56" s="13" t="n">
        <v>80</v>
      </c>
      <c r="E56" s="13" t="str">
        <f aca="false">IF('🧬 DNA Loop Engine'!B5&gt;=80,"✅ Mature",IF('🧬 DNA Loop Engine'!B5&gt;=8,"🔄 Growing","⏳"))</f>
        <v>⏳</v>
      </c>
      <c r="F56" s="13" t="str">
        <f aca="false">IF('🧬 DNA Loop Engine'!B5&gt;=80,"100%",IF('🧬 DNA Loop Engine'!B5&gt;=8,ROUND(('🧬 DNA Loop Engine'!B5-8)/(80-8)*100,0)&amp;"%","0%"))</f>
        <v>0%</v>
      </c>
      <c r="G56" s="13" t="s">
        <v>317</v>
      </c>
    </row>
    <row r="57" customFormat="false" ht="23.25" hidden="false" customHeight="true" outlineLevel="0" collapsed="false">
      <c r="A57" s="14" t="s">
        <v>318</v>
      </c>
      <c r="B57" s="14" t="s">
        <v>319</v>
      </c>
      <c r="C57" s="14" t="n">
        <v>8</v>
      </c>
      <c r="D57" s="14" t="n">
        <v>624</v>
      </c>
      <c r="E57" s="14" t="str">
        <f aca="false">IF('🧬 DNA Loop Engine'!B5&gt;=624,"✅ Mature",IF('🧬 DNA Loop Engine'!B5&gt;=8,"🔄 Growing","⏳"))</f>
        <v>⏳</v>
      </c>
      <c r="F57" s="14" t="str">
        <f aca="false">IF('🧬 DNA Loop Engine'!B5&gt;=624,"100%",IF('🧬 DNA Loop Engine'!B5&gt;=8,ROUND(('🧬 DNA Loop Engine'!B5-8)/(624-8)*100,0)&amp;"%","0%"))</f>
        <v>0%</v>
      </c>
      <c r="G57" s="14" t="s">
        <v>320</v>
      </c>
    </row>
    <row r="60" customFormat="false" ht="27.75" hidden="false" customHeight="true" outlineLevel="0" collapsed="false">
      <c r="A60" s="17" t="s">
        <v>321</v>
      </c>
    </row>
    <row r="61" customFormat="false" ht="15" hidden="false" customHeight="true" outlineLevel="0" collapsed="false">
      <c r="A61" s="18" t="s">
        <v>41</v>
      </c>
      <c r="B61" s="18" t="s">
        <v>64</v>
      </c>
      <c r="C61" s="18" t="s">
        <v>322</v>
      </c>
      <c r="D61" s="18" t="s">
        <v>323</v>
      </c>
      <c r="E61" s="18" t="s">
        <v>324</v>
      </c>
      <c r="F61" s="18" t="s">
        <v>325</v>
      </c>
      <c r="G61" s="18" t="s">
        <v>326</v>
      </c>
    </row>
    <row r="62" customFormat="false" ht="23.25" hidden="false" customHeight="true" outlineLevel="0" collapsed="false">
      <c r="A62" s="13" t="s">
        <v>157</v>
      </c>
      <c r="B62" s="13" t="s">
        <v>222</v>
      </c>
      <c r="C62" s="13" t="s">
        <v>327</v>
      </c>
      <c r="D62" s="13" t="s">
        <v>328</v>
      </c>
      <c r="E62" s="13" t="s">
        <v>329</v>
      </c>
      <c r="F62" s="13" t="s">
        <v>330</v>
      </c>
      <c r="G62" s="13" t="s">
        <v>331</v>
      </c>
    </row>
    <row r="63" customFormat="false" ht="23.25" hidden="false" customHeight="true" outlineLevel="0" collapsed="false">
      <c r="A63" s="14" t="s">
        <v>158</v>
      </c>
      <c r="B63" s="14" t="s">
        <v>332</v>
      </c>
      <c r="C63" s="14" t="s">
        <v>333</v>
      </c>
      <c r="D63" s="14" t="s">
        <v>334</v>
      </c>
      <c r="E63" s="14" t="s">
        <v>335</v>
      </c>
      <c r="F63" s="14" t="s">
        <v>330</v>
      </c>
      <c r="G63" s="14" t="s">
        <v>336</v>
      </c>
    </row>
    <row r="64" customFormat="false" ht="23.25" hidden="false" customHeight="true" outlineLevel="0" collapsed="false">
      <c r="A64" s="13" t="s">
        <v>159</v>
      </c>
      <c r="B64" s="13" t="s">
        <v>337</v>
      </c>
      <c r="C64" s="13" t="s">
        <v>338</v>
      </c>
      <c r="D64" s="13" t="s">
        <v>339</v>
      </c>
      <c r="E64" s="13" t="s">
        <v>340</v>
      </c>
      <c r="F64" s="13" t="s">
        <v>330</v>
      </c>
      <c r="G64" s="13" t="s">
        <v>341</v>
      </c>
    </row>
    <row r="65" customFormat="false" ht="23.25" hidden="false" customHeight="true" outlineLevel="0" collapsed="false">
      <c r="A65" s="14" t="s">
        <v>160</v>
      </c>
      <c r="B65" s="14" t="s">
        <v>342</v>
      </c>
      <c r="C65" s="14" t="s">
        <v>343</v>
      </c>
      <c r="D65" s="14" t="s">
        <v>344</v>
      </c>
      <c r="E65" s="14" t="s">
        <v>335</v>
      </c>
      <c r="F65" s="14" t="s">
        <v>330</v>
      </c>
      <c r="G65" s="14" t="s">
        <v>345</v>
      </c>
    </row>
    <row r="66" customFormat="false" ht="23.25" hidden="false" customHeight="true" outlineLevel="0" collapsed="false">
      <c r="A66" s="13" t="s">
        <v>161</v>
      </c>
      <c r="B66" s="13" t="s">
        <v>346</v>
      </c>
      <c r="C66" s="13" t="s">
        <v>347</v>
      </c>
      <c r="D66" s="13" t="s">
        <v>348</v>
      </c>
      <c r="E66" s="13" t="s">
        <v>349</v>
      </c>
      <c r="F66" s="13" t="s">
        <v>350</v>
      </c>
      <c r="G66" s="13" t="s">
        <v>351</v>
      </c>
    </row>
    <row r="67" customFormat="false" ht="23.25" hidden="false" customHeight="true" outlineLevel="0" collapsed="false">
      <c r="A67" s="14" t="s">
        <v>162</v>
      </c>
      <c r="B67" s="14" t="s">
        <v>352</v>
      </c>
      <c r="C67" s="14" t="s">
        <v>353</v>
      </c>
      <c r="D67" s="14" t="s">
        <v>354</v>
      </c>
      <c r="E67" s="14" t="s">
        <v>329</v>
      </c>
      <c r="F67" s="14" t="s">
        <v>355</v>
      </c>
      <c r="G67" s="14" t="s">
        <v>356</v>
      </c>
    </row>
    <row r="68" customFormat="false" ht="23.25" hidden="false" customHeight="true" outlineLevel="0" collapsed="false">
      <c r="A68" s="13" t="s">
        <v>163</v>
      </c>
      <c r="B68" s="13" t="s">
        <v>80</v>
      </c>
      <c r="C68" s="13" t="s">
        <v>357</v>
      </c>
      <c r="D68" s="13" t="s">
        <v>358</v>
      </c>
      <c r="E68" s="13" t="s">
        <v>359</v>
      </c>
      <c r="F68" s="13" t="s">
        <v>360</v>
      </c>
      <c r="G68" s="13" t="s">
        <v>361</v>
      </c>
    </row>
    <row r="69" customFormat="false" ht="23.25" hidden="false" customHeight="true" outlineLevel="0" collapsed="false">
      <c r="A69" s="14" t="s">
        <v>164</v>
      </c>
      <c r="B69" s="14" t="s">
        <v>362</v>
      </c>
      <c r="C69" s="14" t="s">
        <v>363</v>
      </c>
      <c r="D69" s="14" t="s">
        <v>364</v>
      </c>
      <c r="E69" s="14" t="s">
        <v>365</v>
      </c>
      <c r="F69" s="14" t="s">
        <v>366</v>
      </c>
      <c r="G69" s="14" t="s">
        <v>367</v>
      </c>
    </row>
    <row r="70" customFormat="false" ht="23.25" hidden="false" customHeight="true" outlineLevel="0" collapsed="false">
      <c r="A70" s="13" t="s">
        <v>165</v>
      </c>
      <c r="B70" s="13" t="s">
        <v>368</v>
      </c>
      <c r="C70" s="13" t="s">
        <v>369</v>
      </c>
      <c r="D70" s="13" t="s">
        <v>370</v>
      </c>
      <c r="E70" s="13" t="s">
        <v>371</v>
      </c>
      <c r="F70" s="13" t="s">
        <v>372</v>
      </c>
      <c r="G70" s="13" t="s">
        <v>373</v>
      </c>
    </row>
    <row r="71" customFormat="false" ht="23.25" hidden="false" customHeight="true" outlineLevel="0" collapsed="false">
      <c r="A71" s="14" t="s">
        <v>166</v>
      </c>
      <c r="B71" s="14" t="s">
        <v>90</v>
      </c>
      <c r="C71" s="14" t="s">
        <v>374</v>
      </c>
      <c r="D71" s="14" t="s">
        <v>375</v>
      </c>
      <c r="E71" s="14" t="s">
        <v>376</v>
      </c>
      <c r="F71" s="14" t="s">
        <v>377</v>
      </c>
      <c r="G71" s="14" t="s">
        <v>378</v>
      </c>
    </row>
    <row r="72" customFormat="false" ht="23.25" hidden="false" customHeight="true" outlineLevel="0" collapsed="false">
      <c r="A72" s="13" t="s">
        <v>168</v>
      </c>
      <c r="B72" s="13" t="s">
        <v>379</v>
      </c>
      <c r="C72" s="13" t="s">
        <v>380</v>
      </c>
      <c r="D72" s="13" t="s">
        <v>381</v>
      </c>
      <c r="E72" s="13" t="s">
        <v>381</v>
      </c>
      <c r="F72" s="13" t="s">
        <v>377</v>
      </c>
      <c r="G72" s="13" t="s">
        <v>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4"/>
    <col collapsed="false" customWidth="true" hidden="false" outlineLevel="0" max="3" min="3" style="1" width="28"/>
    <col collapsed="false" customWidth="true" hidden="false" outlineLevel="0" max="4" min="4" style="1" width="22"/>
    <col collapsed="false" customWidth="true" hidden="false" outlineLevel="0" max="6" min="5" style="1" width="18"/>
  </cols>
  <sheetData>
    <row r="1" customFormat="false" ht="35.25" hidden="false" customHeight="true" outlineLevel="0" collapsed="false">
      <c r="A1" s="19" t="s">
        <v>383</v>
      </c>
    </row>
    <row r="2" customFormat="false" ht="32.25" hidden="false" customHeight="true" outlineLevel="0" collapsed="false">
      <c r="A2" s="3" t="s">
        <v>384</v>
      </c>
    </row>
    <row r="3" customFormat="false" ht="30" hidden="false" customHeight="true" outlineLevel="0" collapsed="false">
      <c r="A3" s="4" t="s">
        <v>213</v>
      </c>
    </row>
    <row r="5" customFormat="false" ht="15" hidden="false" customHeight="true" outlineLevel="0" collapsed="false">
      <c r="A5" s="20" t="s">
        <v>214</v>
      </c>
    </row>
    <row r="6" customFormat="false" ht="15" hidden="false" customHeight="true" outlineLevel="0" collapsed="false">
      <c r="A6" s="21" t="s">
        <v>4</v>
      </c>
      <c r="B6" s="21" t="s">
        <v>5</v>
      </c>
      <c r="C6" s="21" t="s">
        <v>6</v>
      </c>
      <c r="D6" s="21" t="s">
        <v>215</v>
      </c>
    </row>
    <row r="7" customFormat="false" ht="15" hidden="false" customHeight="true" outlineLevel="0" collapsed="false">
      <c r="A7" s="13" t="s">
        <v>8</v>
      </c>
      <c r="B7" s="13" t="n">
        <f aca="false">'🧬 DNA Loop Engine'!B4</f>
        <v>0</v>
      </c>
      <c r="C7" s="13" t="s">
        <v>9</v>
      </c>
      <c r="D7" s="13"/>
    </row>
    <row r="8" customFormat="false" ht="15" hidden="false" customHeight="true" outlineLevel="0" collapsed="false">
      <c r="A8" s="14" t="s">
        <v>11</v>
      </c>
      <c r="B8" s="14" t="n">
        <f aca="false">'🧬 DNA Loop Engine'!B5</f>
        <v>0</v>
      </c>
      <c r="C8" s="14" t="s">
        <v>12</v>
      </c>
      <c r="D8" s="14"/>
    </row>
    <row r="9" customFormat="false" ht="15" hidden="false" customHeight="true" outlineLevel="0" collapsed="false">
      <c r="A9" s="13" t="s">
        <v>14</v>
      </c>
      <c r="B9" s="13" t="n">
        <f aca="false">'🧬 DNA Loop Engine'!B15</f>
        <v>0</v>
      </c>
      <c r="C9" s="13"/>
      <c r="D9" s="13"/>
    </row>
    <row r="12" customFormat="false" ht="27.75" hidden="false" customHeight="true" outlineLevel="0" collapsed="false">
      <c r="A12" s="20" t="s">
        <v>385</v>
      </c>
    </row>
    <row r="13" customFormat="false" ht="15" hidden="false" customHeight="true" outlineLevel="0" collapsed="false">
      <c r="A13" s="21" t="s">
        <v>41</v>
      </c>
      <c r="B13" s="21" t="s">
        <v>64</v>
      </c>
      <c r="C13" s="21" t="s">
        <v>63</v>
      </c>
      <c r="D13" s="21" t="s">
        <v>386</v>
      </c>
      <c r="E13" s="21" t="s">
        <v>387</v>
      </c>
      <c r="F13" s="21" t="s">
        <v>66</v>
      </c>
    </row>
    <row r="14" customFormat="false" ht="23.25" hidden="false" customHeight="true" outlineLevel="0" collapsed="false">
      <c r="A14" s="13" t="n">
        <v>1</v>
      </c>
      <c r="B14" s="13" t="s">
        <v>388</v>
      </c>
      <c r="C14" s="13" t="s">
        <v>389</v>
      </c>
      <c r="D14" s="13" t="s">
        <v>390</v>
      </c>
      <c r="E14" s="13" t="s">
        <v>391</v>
      </c>
      <c r="F14" s="13" t="str">
        <f aca="false">IF('🧬 DNA Loop Engine'!B5&gt;=80,"✅ Past",IF('🧬 DNA Loop Engine'!B5&gt;=0,"⭐ CURRENT","⏳"))</f>
        <v>⭐ CURRENT</v>
      </c>
    </row>
    <row r="15" customFormat="false" ht="34.5" hidden="false" customHeight="true" outlineLevel="0" collapsed="false">
      <c r="A15" s="14" t="n">
        <v>2</v>
      </c>
      <c r="B15" s="14" t="s">
        <v>392</v>
      </c>
      <c r="C15" s="14" t="s">
        <v>393</v>
      </c>
      <c r="D15" s="14" t="s">
        <v>394</v>
      </c>
      <c r="E15" s="14" t="s">
        <v>395</v>
      </c>
      <c r="F15" s="14" t="str">
        <f aca="false">IF('🧬 DNA Loop Engine'!B5&gt;=160,"✅ Past",IF('🧬 DNA Loop Engine'!B5&gt;=80,"⭐ CURRENT","⏳"))</f>
        <v>⏳</v>
      </c>
    </row>
    <row r="16" customFormat="false" ht="23.25" hidden="false" customHeight="true" outlineLevel="0" collapsed="false">
      <c r="A16" s="13" t="n">
        <v>3</v>
      </c>
      <c r="B16" s="13" t="s">
        <v>396</v>
      </c>
      <c r="C16" s="13" t="s">
        <v>397</v>
      </c>
      <c r="D16" s="13" t="s">
        <v>398</v>
      </c>
      <c r="E16" s="13" t="s">
        <v>399</v>
      </c>
      <c r="F16" s="13" t="str">
        <f aca="false">IF('🧬 DNA Loop Engine'!B5&gt;=260,"✅ Past",IF('🧬 DNA Loop Engine'!B5&gt;=160,"⭐ CURRENT","⏳"))</f>
        <v>⏳</v>
      </c>
    </row>
    <row r="17" customFormat="false" ht="23.25" hidden="false" customHeight="true" outlineLevel="0" collapsed="false">
      <c r="A17" s="14" t="n">
        <v>4</v>
      </c>
      <c r="B17" s="14" t="s">
        <v>400</v>
      </c>
      <c r="C17" s="14" t="s">
        <v>401</v>
      </c>
      <c r="D17" s="14" t="s">
        <v>402</v>
      </c>
      <c r="E17" s="14" t="s">
        <v>403</v>
      </c>
      <c r="F17" s="14" t="str">
        <f aca="false">IF('🧬 DNA Loop Engine'!B5&gt;=400,"✅ Past",IF('🧬 DNA Loop Engine'!B5&gt;=260,"⭐ CURRENT","⏳"))</f>
        <v>⏳</v>
      </c>
    </row>
    <row r="18" customFormat="false" ht="23.25" hidden="false" customHeight="true" outlineLevel="0" collapsed="false">
      <c r="A18" s="13" t="n">
        <v>5</v>
      </c>
      <c r="B18" s="13" t="s">
        <v>404</v>
      </c>
      <c r="C18" s="13" t="s">
        <v>405</v>
      </c>
      <c r="D18" s="13" t="s">
        <v>406</v>
      </c>
      <c r="E18" s="13" t="s">
        <v>407</v>
      </c>
      <c r="F18" s="13" t="str">
        <f aca="false">IF('🧬 DNA Loop Engine'!B5&gt;=400,"⭐ CURRENT","⏳")</f>
        <v>⏳</v>
      </c>
    </row>
    <row r="21" customFormat="false" ht="15" hidden="false" customHeight="true" outlineLevel="0" collapsed="false">
      <c r="A21" s="20" t="s">
        <v>408</v>
      </c>
    </row>
    <row r="22" customFormat="false" ht="15" hidden="false" customHeight="true" outlineLevel="0" collapsed="false">
      <c r="A22" s="21" t="s">
        <v>409</v>
      </c>
      <c r="B22" s="21" t="s">
        <v>410</v>
      </c>
      <c r="C22" s="21" t="s">
        <v>411</v>
      </c>
      <c r="D22" s="21" t="s">
        <v>412</v>
      </c>
    </row>
    <row r="23" customFormat="false" ht="23.25" hidden="false" customHeight="true" outlineLevel="0" collapsed="false">
      <c r="A23" s="13" t="s">
        <v>413</v>
      </c>
      <c r="B23" s="13" t="s">
        <v>414</v>
      </c>
      <c r="C23" s="13" t="s">
        <v>415</v>
      </c>
      <c r="D23" s="13" t="s">
        <v>416</v>
      </c>
    </row>
    <row r="24" customFormat="false" ht="15" hidden="false" customHeight="true" outlineLevel="0" collapsed="false">
      <c r="A24" s="14" t="s">
        <v>417</v>
      </c>
      <c r="B24" s="14" t="s">
        <v>418</v>
      </c>
      <c r="C24" s="14" t="s">
        <v>419</v>
      </c>
      <c r="D24" s="14" t="s">
        <v>420</v>
      </c>
    </row>
    <row r="25" customFormat="false" ht="23.25" hidden="false" customHeight="true" outlineLevel="0" collapsed="false">
      <c r="A25" s="13" t="s">
        <v>421</v>
      </c>
      <c r="B25" s="13" t="s">
        <v>422</v>
      </c>
      <c r="C25" s="13" t="s">
        <v>423</v>
      </c>
      <c r="D25" s="13" t="s">
        <v>424</v>
      </c>
    </row>
    <row r="26" customFormat="false" ht="23.25" hidden="false" customHeight="true" outlineLevel="0" collapsed="false">
      <c r="A26" s="14" t="s">
        <v>425</v>
      </c>
      <c r="B26" s="14" t="s">
        <v>426</v>
      </c>
      <c r="C26" s="14" t="s">
        <v>427</v>
      </c>
      <c r="D26" s="14" t="s">
        <v>428</v>
      </c>
    </row>
    <row r="27" customFormat="false" ht="15" hidden="false" customHeight="true" outlineLevel="0" collapsed="false">
      <c r="A27" s="13" t="s">
        <v>429</v>
      </c>
      <c r="B27" s="13" t="s">
        <v>430</v>
      </c>
      <c r="C27" s="13" t="s">
        <v>431</v>
      </c>
      <c r="D27" s="13" t="s">
        <v>432</v>
      </c>
    </row>
    <row r="28" customFormat="false" ht="23.25" hidden="false" customHeight="true" outlineLevel="0" collapsed="false">
      <c r="A28" s="14" t="s">
        <v>433</v>
      </c>
      <c r="B28" s="14" t="s">
        <v>434</v>
      </c>
      <c r="C28" s="14" t="s">
        <v>435</v>
      </c>
      <c r="D28" s="14" t="s">
        <v>436</v>
      </c>
    </row>
    <row r="31" customFormat="false" ht="15" hidden="false" customHeight="true" outlineLevel="0" collapsed="false">
      <c r="A31" s="20" t="s">
        <v>437</v>
      </c>
    </row>
    <row r="32" customFormat="false" ht="15" hidden="false" customHeight="true" outlineLevel="0" collapsed="false">
      <c r="A32" s="21" t="s">
        <v>438</v>
      </c>
      <c r="B32" s="21" t="s">
        <v>439</v>
      </c>
      <c r="C32" s="21" t="s">
        <v>440</v>
      </c>
      <c r="D32" s="21" t="s">
        <v>441</v>
      </c>
      <c r="E32" s="21" t="s">
        <v>66</v>
      </c>
    </row>
    <row r="33" customFormat="false" ht="15" hidden="false" customHeight="true" outlineLevel="0" collapsed="false">
      <c r="A33" s="13" t="s">
        <v>442</v>
      </c>
      <c r="B33" s="13" t="s">
        <v>443</v>
      </c>
      <c r="C33" s="13" t="s">
        <v>444</v>
      </c>
      <c r="D33" s="13" t="n">
        <v>0</v>
      </c>
      <c r="E33" s="13" t="str">
        <f aca="false">IF('🧬 DNA Loop Engine'!B5&gt;=0,"✅ Active","⏳")</f>
        <v>✅ Active</v>
      </c>
    </row>
    <row r="34" customFormat="false" ht="15" hidden="false" customHeight="true" outlineLevel="0" collapsed="false">
      <c r="A34" s="14" t="s">
        <v>445</v>
      </c>
      <c r="B34" s="14" t="s">
        <v>446</v>
      </c>
      <c r="C34" s="14" t="s">
        <v>447</v>
      </c>
      <c r="D34" s="14" t="n">
        <v>0</v>
      </c>
      <c r="E34" s="14" t="str">
        <f aca="false">IF('🧬 DNA Loop Engine'!B5&gt;=0,"✅ Active","⏳")</f>
        <v>✅ Active</v>
      </c>
    </row>
    <row r="35" customFormat="false" ht="15" hidden="false" customHeight="true" outlineLevel="0" collapsed="false">
      <c r="A35" s="13" t="s">
        <v>448</v>
      </c>
      <c r="B35" s="13" t="s">
        <v>449</v>
      </c>
      <c r="C35" s="13" t="s">
        <v>450</v>
      </c>
      <c r="D35" s="13" t="n">
        <v>12</v>
      </c>
      <c r="E35" s="13" t="str">
        <f aca="false">IF('🧬 DNA Loop Engine'!B5&gt;=12,"✅ Active","⏳")</f>
        <v>⏳</v>
      </c>
    </row>
    <row r="36" customFormat="false" ht="15" hidden="false" customHeight="true" outlineLevel="0" collapsed="false">
      <c r="A36" s="14" t="s">
        <v>451</v>
      </c>
      <c r="B36" s="14" t="s">
        <v>452</v>
      </c>
      <c r="C36" s="14" t="s">
        <v>453</v>
      </c>
      <c r="D36" s="14" t="n">
        <v>40</v>
      </c>
      <c r="E36" s="14" t="str">
        <f aca="false">IF('🧬 DNA Loop Engine'!B5&gt;=40,"✅ Active","⏳")</f>
        <v>⏳</v>
      </c>
    </row>
    <row r="37" customFormat="false" ht="15" hidden="false" customHeight="true" outlineLevel="0" collapsed="false">
      <c r="A37" s="13" t="s">
        <v>454</v>
      </c>
      <c r="B37" s="13" t="s">
        <v>455</v>
      </c>
      <c r="C37" s="13" t="s">
        <v>456</v>
      </c>
      <c r="D37" s="13" t="n">
        <v>40</v>
      </c>
      <c r="E37" s="13" t="str">
        <f aca="false">IF('🧬 DNA Loop Engine'!B5&gt;=40,"✅ Active","⏳")</f>
        <v>⏳</v>
      </c>
    </row>
    <row r="38" customFormat="false" ht="15" hidden="false" customHeight="true" outlineLevel="0" collapsed="false">
      <c r="A38" s="14" t="s">
        <v>457</v>
      </c>
      <c r="B38" s="14" t="s">
        <v>458</v>
      </c>
      <c r="C38" s="14" t="s">
        <v>459</v>
      </c>
      <c r="D38" s="14" t="n">
        <v>80</v>
      </c>
      <c r="E38" s="14" t="str">
        <f aca="false">IF('🧬 DNA Loop Engine'!B5&gt;=80,"✅ Active","⏳")</f>
        <v>⏳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4"/>
    <col collapsed="false" customWidth="true" hidden="false" outlineLevel="0" max="3" min="3" style="1" width="28"/>
    <col collapsed="false" customWidth="true" hidden="false" outlineLevel="0" max="4" min="4" style="1" width="22"/>
    <col collapsed="false" customWidth="true" hidden="false" outlineLevel="0" max="6" min="5" style="1" width="18"/>
  </cols>
  <sheetData>
    <row r="1" customFormat="false" ht="35.25" hidden="false" customHeight="true" outlineLevel="0" collapsed="false">
      <c r="A1" s="22" t="s">
        <v>460</v>
      </c>
    </row>
    <row r="2" customFormat="false" ht="32.25" hidden="false" customHeight="true" outlineLevel="0" collapsed="false">
      <c r="A2" s="3" t="s">
        <v>461</v>
      </c>
    </row>
    <row r="3" customFormat="false" ht="30" hidden="false" customHeight="true" outlineLevel="0" collapsed="false">
      <c r="A3" s="4" t="s">
        <v>213</v>
      </c>
    </row>
    <row r="5" customFormat="false" ht="15" hidden="false" customHeight="true" outlineLevel="0" collapsed="false">
      <c r="A5" s="23" t="s">
        <v>214</v>
      </c>
    </row>
    <row r="6" customFormat="false" ht="15" hidden="false" customHeight="true" outlineLevel="0" collapsed="false">
      <c r="A6" s="24" t="s">
        <v>4</v>
      </c>
      <c r="B6" s="24" t="s">
        <v>5</v>
      </c>
      <c r="C6" s="24" t="s">
        <v>6</v>
      </c>
      <c r="D6" s="24" t="s">
        <v>215</v>
      </c>
    </row>
    <row r="7" customFormat="false" ht="15" hidden="false" customHeight="true" outlineLevel="0" collapsed="false">
      <c r="A7" s="13" t="s">
        <v>8</v>
      </c>
      <c r="B7" s="13" t="n">
        <f aca="false">'🧬 DNA Loop Engine'!B4</f>
        <v>0</v>
      </c>
      <c r="C7" s="13" t="s">
        <v>9</v>
      </c>
      <c r="D7" s="13"/>
    </row>
    <row r="8" customFormat="false" ht="15" hidden="false" customHeight="true" outlineLevel="0" collapsed="false">
      <c r="A8" s="14" t="s">
        <v>11</v>
      </c>
      <c r="B8" s="14" t="n">
        <f aca="false">'🧬 DNA Loop Engine'!B5</f>
        <v>0</v>
      </c>
      <c r="C8" s="14" t="s">
        <v>12</v>
      </c>
      <c r="D8" s="14"/>
    </row>
    <row r="9" customFormat="false" ht="15" hidden="false" customHeight="true" outlineLevel="0" collapsed="false">
      <c r="A9" s="13" t="s">
        <v>14</v>
      </c>
      <c r="B9" s="13" t="n">
        <f aca="false">'🧬 DNA Loop Engine'!B15</f>
        <v>0</v>
      </c>
      <c r="C9" s="13"/>
      <c r="D9" s="13"/>
    </row>
    <row r="12" customFormat="false" ht="15" hidden="false" customHeight="true" outlineLevel="0" collapsed="false">
      <c r="A12" s="23" t="s">
        <v>462</v>
      </c>
    </row>
    <row r="13" customFormat="false" ht="15" hidden="false" customHeight="true" outlineLevel="0" collapsed="false">
      <c r="A13" s="24" t="s">
        <v>41</v>
      </c>
      <c r="B13" s="24" t="s">
        <v>64</v>
      </c>
      <c r="C13" s="24" t="s">
        <v>386</v>
      </c>
      <c r="D13" s="24" t="s">
        <v>410</v>
      </c>
      <c r="E13" s="24" t="s">
        <v>66</v>
      </c>
    </row>
    <row r="14" customFormat="false" ht="23.25" hidden="false" customHeight="true" outlineLevel="0" collapsed="false">
      <c r="A14" s="13" t="n">
        <v>0</v>
      </c>
      <c r="B14" s="13" t="s">
        <v>463</v>
      </c>
      <c r="C14" s="13" t="s">
        <v>464</v>
      </c>
      <c r="D14" s="13" t="s">
        <v>465</v>
      </c>
      <c r="E14" s="13" t="str">
        <f aca="false">IF('🧬 DNA Loop Engine'!B5&gt;=36,"✅ Past",IF('🧬 DNA Loop Engine'!B5&gt;=0,"⭐ CURRENT","⏳"))</f>
        <v>⭐ CURRENT</v>
      </c>
    </row>
    <row r="15" customFormat="false" ht="23.25" hidden="false" customHeight="true" outlineLevel="0" collapsed="false">
      <c r="A15" s="14" t="n">
        <v>1</v>
      </c>
      <c r="B15" s="14" t="s">
        <v>466</v>
      </c>
      <c r="C15" s="14" t="s">
        <v>467</v>
      </c>
      <c r="D15" s="14" t="s">
        <v>468</v>
      </c>
      <c r="E15" s="14" t="str">
        <f aca="false">IF('🧬 DNA Loop Engine'!B5&gt;=44,"✅ Past",IF('🧬 DNA Loop Engine'!B5&gt;=36,"⭐ CURRENT","⏳"))</f>
        <v>⏳</v>
      </c>
    </row>
    <row r="16" customFormat="false" ht="23.25" hidden="false" customHeight="true" outlineLevel="0" collapsed="false">
      <c r="A16" s="13" t="n">
        <v>2</v>
      </c>
      <c r="B16" s="13" t="s">
        <v>469</v>
      </c>
      <c r="C16" s="13" t="s">
        <v>470</v>
      </c>
      <c r="D16" s="13" t="s">
        <v>471</v>
      </c>
      <c r="E16" s="13" t="str">
        <f aca="false">IF('🧬 DNA Loop Engine'!B5&gt;=52,"✅ Past",IF('🧬 DNA Loop Engine'!B5&gt;=44,"⭐ CURRENT","⏳"))</f>
        <v>⏳</v>
      </c>
    </row>
    <row r="17" customFormat="false" ht="23.25" hidden="false" customHeight="true" outlineLevel="0" collapsed="false">
      <c r="A17" s="14" t="n">
        <v>3</v>
      </c>
      <c r="B17" s="14" t="s">
        <v>472</v>
      </c>
      <c r="C17" s="14" t="s">
        <v>473</v>
      </c>
      <c r="D17" s="14" t="s">
        <v>474</v>
      </c>
      <c r="E17" s="14" t="str">
        <f aca="false">IF('🧬 DNA Loop Engine'!B5&gt;=52,"⭐ CURRENT","⏳")</f>
        <v>⏳</v>
      </c>
    </row>
    <row r="20" customFormat="false" ht="15" hidden="false" customHeight="true" outlineLevel="0" collapsed="false">
      <c r="A20" s="23" t="s">
        <v>475</v>
      </c>
    </row>
    <row r="21" customFormat="false" ht="15" hidden="false" customHeight="true" outlineLevel="0" collapsed="false">
      <c r="A21" s="24" t="s">
        <v>409</v>
      </c>
      <c r="B21" s="24" t="s">
        <v>410</v>
      </c>
      <c r="C21" s="24" t="s">
        <v>411</v>
      </c>
      <c r="D21" s="24" t="s">
        <v>412</v>
      </c>
    </row>
    <row r="22" customFormat="false" ht="15" hidden="false" customHeight="true" outlineLevel="0" collapsed="false">
      <c r="A22" s="13" t="s">
        <v>476</v>
      </c>
      <c r="B22" s="13" t="s">
        <v>477</v>
      </c>
      <c r="C22" s="13" t="s">
        <v>478</v>
      </c>
      <c r="D22" s="13" t="s">
        <v>479</v>
      </c>
    </row>
    <row r="23" customFormat="false" ht="15" hidden="false" customHeight="true" outlineLevel="0" collapsed="false">
      <c r="A23" s="14" t="s">
        <v>480</v>
      </c>
      <c r="B23" s="14" t="s">
        <v>481</v>
      </c>
      <c r="C23" s="14" t="s">
        <v>482</v>
      </c>
      <c r="D23" s="14" t="s">
        <v>483</v>
      </c>
    </row>
    <row r="24" customFormat="false" ht="15" hidden="false" customHeight="true" outlineLevel="0" collapsed="false">
      <c r="A24" s="13" t="s">
        <v>484</v>
      </c>
      <c r="B24" s="13" t="s">
        <v>485</v>
      </c>
      <c r="C24" s="13" t="s">
        <v>486</v>
      </c>
      <c r="D24" s="13" t="s">
        <v>487</v>
      </c>
    </row>
    <row r="25" customFormat="false" ht="15" hidden="false" customHeight="true" outlineLevel="0" collapsed="false">
      <c r="A25" s="14" t="s">
        <v>488</v>
      </c>
      <c r="B25" s="14" t="s">
        <v>489</v>
      </c>
      <c r="C25" s="14" t="s">
        <v>490</v>
      </c>
      <c r="D25" s="14" t="s">
        <v>491</v>
      </c>
    </row>
    <row r="28" customFormat="false" ht="15" hidden="false" customHeight="true" outlineLevel="0" collapsed="false">
      <c r="A28" s="23" t="s">
        <v>492</v>
      </c>
    </row>
    <row r="29" customFormat="false" ht="15" hidden="false" customHeight="true" outlineLevel="0" collapsed="false">
      <c r="A29" s="24" t="s">
        <v>409</v>
      </c>
      <c r="B29" s="24" t="s">
        <v>410</v>
      </c>
      <c r="C29" s="24" t="s">
        <v>411</v>
      </c>
      <c r="D29" s="24" t="s">
        <v>412</v>
      </c>
    </row>
    <row r="30" customFormat="false" ht="15" hidden="false" customHeight="true" outlineLevel="0" collapsed="false">
      <c r="A30" s="13" t="s">
        <v>493</v>
      </c>
      <c r="B30" s="13" t="s">
        <v>494</v>
      </c>
      <c r="C30" s="13" t="s">
        <v>495</v>
      </c>
      <c r="D30" s="13" t="s">
        <v>496</v>
      </c>
    </row>
    <row r="31" customFormat="false" ht="15" hidden="false" customHeight="true" outlineLevel="0" collapsed="false">
      <c r="A31" s="14" t="s">
        <v>497</v>
      </c>
      <c r="B31" s="14" t="s">
        <v>498</v>
      </c>
      <c r="C31" s="14" t="s">
        <v>499</v>
      </c>
      <c r="D31" s="14" t="s">
        <v>500</v>
      </c>
    </row>
    <row r="32" customFormat="false" ht="15" hidden="false" customHeight="true" outlineLevel="0" collapsed="false">
      <c r="A32" s="13" t="s">
        <v>501</v>
      </c>
      <c r="B32" s="13" t="s">
        <v>502</v>
      </c>
      <c r="C32" s="13" t="s">
        <v>503</v>
      </c>
      <c r="D32" s="13" t="s">
        <v>504</v>
      </c>
    </row>
    <row r="33" customFormat="false" ht="15" hidden="false" customHeight="true" outlineLevel="0" collapsed="false">
      <c r="A33" s="14" t="s">
        <v>505</v>
      </c>
      <c r="B33" s="14" t="s">
        <v>506</v>
      </c>
      <c r="C33" s="14" t="s">
        <v>507</v>
      </c>
      <c r="D33" s="14" t="s">
        <v>508</v>
      </c>
    </row>
    <row r="36" customFormat="false" ht="27.75" hidden="false" customHeight="true" outlineLevel="0" collapsed="false">
      <c r="A36" s="23" t="s">
        <v>509</v>
      </c>
    </row>
    <row r="37" customFormat="false" ht="15" hidden="false" customHeight="true" outlineLevel="0" collapsed="false">
      <c r="A37" s="24" t="s">
        <v>409</v>
      </c>
      <c r="B37" s="24" t="s">
        <v>410</v>
      </c>
      <c r="C37" s="24" t="s">
        <v>411</v>
      </c>
      <c r="D37" s="24" t="s">
        <v>412</v>
      </c>
    </row>
    <row r="38" customFormat="false" ht="23.25" hidden="false" customHeight="true" outlineLevel="0" collapsed="false">
      <c r="A38" s="13" t="s">
        <v>510</v>
      </c>
      <c r="B38" s="13" t="s">
        <v>511</v>
      </c>
      <c r="C38" s="13" t="s">
        <v>512</v>
      </c>
      <c r="D38" s="13" t="s">
        <v>513</v>
      </c>
    </row>
    <row r="39" customFormat="false" ht="15" hidden="false" customHeight="true" outlineLevel="0" collapsed="false">
      <c r="A39" s="14" t="s">
        <v>514</v>
      </c>
      <c r="B39" s="14" t="s">
        <v>515</v>
      </c>
      <c r="C39" s="14" t="s">
        <v>516</v>
      </c>
      <c r="D39" s="14" t="s">
        <v>517</v>
      </c>
    </row>
    <row r="40" customFormat="false" ht="23.25" hidden="false" customHeight="true" outlineLevel="0" collapsed="false">
      <c r="A40" s="13" t="s">
        <v>518</v>
      </c>
      <c r="B40" s="13" t="s">
        <v>519</v>
      </c>
      <c r="C40" s="13" t="s">
        <v>520</v>
      </c>
      <c r="D40" s="13" t="s">
        <v>521</v>
      </c>
    </row>
    <row r="41" customFormat="false" ht="15" hidden="false" customHeight="true" outlineLevel="0" collapsed="false">
      <c r="A41" s="14" t="s">
        <v>522</v>
      </c>
      <c r="B41" s="14" t="s">
        <v>523</v>
      </c>
      <c r="C41" s="14" t="s">
        <v>524</v>
      </c>
      <c r="D41" s="14" t="s">
        <v>525</v>
      </c>
    </row>
    <row r="42" customFormat="false" ht="23.25" hidden="false" customHeight="true" outlineLevel="0" collapsed="false">
      <c r="A42" s="13" t="s">
        <v>526</v>
      </c>
      <c r="B42" s="13" t="s">
        <v>527</v>
      </c>
      <c r="C42" s="13" t="s">
        <v>528</v>
      </c>
      <c r="D42" s="13" t="s">
        <v>529</v>
      </c>
    </row>
    <row r="43" customFormat="false" ht="23.25" hidden="false" customHeight="true" outlineLevel="0" collapsed="false">
      <c r="A43" s="14" t="s">
        <v>530</v>
      </c>
      <c r="B43" s="14" t="s">
        <v>531</v>
      </c>
      <c r="C43" s="14" t="s">
        <v>532</v>
      </c>
      <c r="D43" s="14" t="s">
        <v>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4"/>
    <col collapsed="false" customWidth="true" hidden="false" outlineLevel="0" max="3" min="3" style="1" width="28"/>
    <col collapsed="false" customWidth="true" hidden="false" outlineLevel="0" max="4" min="4" style="1" width="22"/>
    <col collapsed="false" customWidth="true" hidden="false" outlineLevel="0" max="6" min="5" style="1" width="18"/>
  </cols>
  <sheetData>
    <row r="1" customFormat="false" ht="35.25" hidden="false" customHeight="true" outlineLevel="0" collapsed="false">
      <c r="A1" s="25" t="s">
        <v>534</v>
      </c>
    </row>
    <row r="2" customFormat="false" ht="32.25" hidden="false" customHeight="true" outlineLevel="0" collapsed="false">
      <c r="A2" s="3" t="s">
        <v>535</v>
      </c>
    </row>
    <row r="3" customFormat="false" ht="30" hidden="false" customHeight="true" outlineLevel="0" collapsed="false">
      <c r="A3" s="4" t="s">
        <v>213</v>
      </c>
    </row>
    <row r="5" customFormat="false" ht="15" hidden="false" customHeight="true" outlineLevel="0" collapsed="false">
      <c r="A5" s="26" t="s">
        <v>214</v>
      </c>
    </row>
    <row r="6" customFormat="false" ht="15" hidden="false" customHeight="true" outlineLevel="0" collapsed="false">
      <c r="A6" s="27" t="s">
        <v>4</v>
      </c>
      <c r="B6" s="27" t="s">
        <v>5</v>
      </c>
      <c r="C6" s="27" t="s">
        <v>6</v>
      </c>
      <c r="D6" s="27" t="s">
        <v>215</v>
      </c>
    </row>
    <row r="7" customFormat="false" ht="15" hidden="false" customHeight="true" outlineLevel="0" collapsed="false">
      <c r="A7" s="13" t="s">
        <v>8</v>
      </c>
      <c r="B7" s="13" t="n">
        <f aca="false">'🧬 DNA Loop Engine'!B4</f>
        <v>0</v>
      </c>
      <c r="C7" s="13" t="s">
        <v>9</v>
      </c>
      <c r="D7" s="13"/>
    </row>
    <row r="8" customFormat="false" ht="15" hidden="false" customHeight="true" outlineLevel="0" collapsed="false">
      <c r="A8" s="14" t="s">
        <v>11</v>
      </c>
      <c r="B8" s="14" t="n">
        <f aca="false">'🧬 DNA Loop Engine'!B5</f>
        <v>0</v>
      </c>
      <c r="C8" s="14" t="s">
        <v>12</v>
      </c>
      <c r="D8" s="14"/>
    </row>
    <row r="9" customFormat="false" ht="15" hidden="false" customHeight="true" outlineLevel="0" collapsed="false">
      <c r="A9" s="13" t="s">
        <v>14</v>
      </c>
      <c r="B9" s="13" t="n">
        <f aca="false">'🧬 DNA Loop Engine'!B15</f>
        <v>0</v>
      </c>
      <c r="C9" s="13"/>
      <c r="D9" s="13"/>
    </row>
    <row r="12" customFormat="false" ht="27.75" hidden="false" customHeight="true" outlineLevel="0" collapsed="false">
      <c r="A12" s="26" t="s">
        <v>536</v>
      </c>
    </row>
    <row r="13" customFormat="false" ht="15" hidden="false" customHeight="true" outlineLevel="0" collapsed="false">
      <c r="A13" s="27" t="s">
        <v>41</v>
      </c>
      <c r="B13" s="27" t="s">
        <v>64</v>
      </c>
      <c r="C13" s="27" t="s">
        <v>537</v>
      </c>
      <c r="D13" s="27" t="s">
        <v>538</v>
      </c>
      <c r="E13" s="27" t="s">
        <v>410</v>
      </c>
      <c r="F13" s="27" t="s">
        <v>66</v>
      </c>
    </row>
    <row r="14" customFormat="false" ht="34.5" hidden="false" customHeight="true" outlineLevel="0" collapsed="false">
      <c r="A14" s="13" t="n">
        <v>1</v>
      </c>
      <c r="B14" s="13" t="s">
        <v>75</v>
      </c>
      <c r="C14" s="13" t="s">
        <v>539</v>
      </c>
      <c r="D14" s="13" t="s">
        <v>540</v>
      </c>
      <c r="E14" s="13" t="s">
        <v>541</v>
      </c>
      <c r="F14" s="13" t="str">
        <f aca="false">IF('🧬 DNA Loop Engine'!B5&gt;=80,"✅ Past",IF('🧬 DNA Loop Engine'!B5&gt;=40,"⭐ CURRENT","⏳"))</f>
        <v>⏳</v>
      </c>
    </row>
    <row r="15" customFormat="false" ht="23.25" hidden="false" customHeight="true" outlineLevel="0" collapsed="false">
      <c r="A15" s="14" t="n">
        <v>2</v>
      </c>
      <c r="B15" s="14" t="s">
        <v>80</v>
      </c>
      <c r="C15" s="14" t="s">
        <v>542</v>
      </c>
      <c r="D15" s="14" t="s">
        <v>543</v>
      </c>
      <c r="E15" s="14" t="s">
        <v>544</v>
      </c>
      <c r="F15" s="14" t="str">
        <f aca="false">IF('🧬 DNA Loop Engine'!B5&gt;=156,"✅ Past",IF('🧬 DNA Loop Engine'!B5&gt;=80,"⭐ CURRENT","⏳"))</f>
        <v>⏳</v>
      </c>
    </row>
    <row r="16" customFormat="false" ht="34.5" hidden="false" customHeight="true" outlineLevel="0" collapsed="false">
      <c r="A16" s="13" t="n">
        <v>3</v>
      </c>
      <c r="B16" s="13" t="s">
        <v>545</v>
      </c>
      <c r="C16" s="13" t="s">
        <v>546</v>
      </c>
      <c r="D16" s="13" t="s">
        <v>547</v>
      </c>
      <c r="E16" s="13" t="s">
        <v>548</v>
      </c>
      <c r="F16" s="13" t="str">
        <f aca="false">IF('🧬 DNA Loop Engine'!B5&gt;=260,"✅ Past",IF('🧬 DNA Loop Engine'!B5&gt;=156,"⭐ CURRENT","⏳"))</f>
        <v>⏳</v>
      </c>
    </row>
    <row r="17" customFormat="false" ht="23.25" hidden="false" customHeight="true" outlineLevel="0" collapsed="false">
      <c r="A17" s="14" t="n">
        <v>4</v>
      </c>
      <c r="B17" s="14" t="s">
        <v>549</v>
      </c>
      <c r="C17" s="14" t="s">
        <v>550</v>
      </c>
      <c r="D17" s="14" t="s">
        <v>551</v>
      </c>
      <c r="E17" s="14" t="s">
        <v>552</v>
      </c>
      <c r="F17" s="14" t="str">
        <f aca="false">IF('🧬 DNA Loop Engine'!B5&gt;=624,"✅ Past",IF('🧬 DNA Loop Engine'!B5&gt;=260,"⭐ CURRENT","⏳"))</f>
        <v>⏳</v>
      </c>
    </row>
    <row r="18" customFormat="false" ht="23.25" hidden="false" customHeight="true" outlineLevel="0" collapsed="false">
      <c r="A18" s="13" t="n">
        <v>5</v>
      </c>
      <c r="B18" s="13" t="s">
        <v>553</v>
      </c>
      <c r="C18" s="13" t="s">
        <v>554</v>
      </c>
      <c r="D18" s="13" t="s">
        <v>555</v>
      </c>
      <c r="E18" s="13" t="s">
        <v>556</v>
      </c>
      <c r="F18" s="13" t="str">
        <f aca="false">IF('🧬 DNA Loop Engine'!B5&gt;=624,"⭐ CURRENT","⏳")</f>
        <v>⏳</v>
      </c>
    </row>
    <row r="21" customFormat="false" ht="15" hidden="false" customHeight="true" outlineLevel="0" collapsed="false">
      <c r="A21" s="26" t="s">
        <v>557</v>
      </c>
    </row>
    <row r="22" customFormat="false" ht="15" hidden="false" customHeight="true" outlineLevel="0" collapsed="false">
      <c r="A22" s="27" t="s">
        <v>41</v>
      </c>
      <c r="B22" s="27" t="s">
        <v>64</v>
      </c>
      <c r="C22" s="27" t="s">
        <v>386</v>
      </c>
      <c r="D22" s="27" t="s">
        <v>410</v>
      </c>
      <c r="E22" s="27" t="s">
        <v>66</v>
      </c>
    </row>
    <row r="23" customFormat="false" ht="15" hidden="false" customHeight="true" outlineLevel="0" collapsed="false">
      <c r="A23" s="13" t="n">
        <v>1</v>
      </c>
      <c r="B23" s="13" t="s">
        <v>558</v>
      </c>
      <c r="C23" s="13" t="s">
        <v>559</v>
      </c>
      <c r="D23" s="13" t="s">
        <v>560</v>
      </c>
      <c r="E23" s="13" t="str">
        <f aca="false">IF('🧬 DNA Loop Engine'!B5&gt;=156,"✅ Past",IF('🧬 DNA Loop Engine'!B5&gt;=40,"⭐ CURRENT","⏳"))</f>
        <v>⏳</v>
      </c>
    </row>
    <row r="24" customFormat="false" ht="23.25" hidden="false" customHeight="true" outlineLevel="0" collapsed="false">
      <c r="A24" s="14" t="n">
        <v>2</v>
      </c>
      <c r="B24" s="14" t="s">
        <v>561</v>
      </c>
      <c r="C24" s="14" t="s">
        <v>562</v>
      </c>
      <c r="D24" s="14" t="s">
        <v>563</v>
      </c>
      <c r="E24" s="14" t="str">
        <f aca="false">IF('🧬 DNA Loop Engine'!B5&gt;=208,"✅ Past",IF('🧬 DNA Loop Engine'!B5&gt;=156,"⭐ CURRENT","⏳"))</f>
        <v>⏳</v>
      </c>
    </row>
    <row r="25" customFormat="false" ht="15" hidden="false" customHeight="true" outlineLevel="0" collapsed="false">
      <c r="A25" s="13" t="n">
        <v>3</v>
      </c>
      <c r="B25" s="13" t="s">
        <v>564</v>
      </c>
      <c r="C25" s="13" t="s">
        <v>565</v>
      </c>
      <c r="D25" s="13" t="s">
        <v>566</v>
      </c>
      <c r="E25" s="13" t="str">
        <f aca="false">IF('🧬 DNA Loop Engine'!B5&gt;=312,"✅ Past",IF('🧬 DNA Loop Engine'!B5&gt;=208,"⭐ CURRENT","⏳"))</f>
        <v>⏳</v>
      </c>
    </row>
    <row r="26" customFormat="false" ht="23.25" hidden="false" customHeight="true" outlineLevel="0" collapsed="false">
      <c r="A26" s="14" t="n">
        <v>4</v>
      </c>
      <c r="B26" s="14" t="s">
        <v>368</v>
      </c>
      <c r="C26" s="14" t="s">
        <v>567</v>
      </c>
      <c r="D26" s="14" t="s">
        <v>568</v>
      </c>
      <c r="E26" s="14" t="str">
        <f aca="false">IF('🧬 DNA Loop Engine'!B5&gt;=624,"✅ Past",IF('🧬 DNA Loop Engine'!B5&gt;=312,"⭐ CURRENT","⏳"))</f>
        <v>⏳</v>
      </c>
    </row>
    <row r="27" customFormat="false" ht="23.25" hidden="false" customHeight="true" outlineLevel="0" collapsed="false">
      <c r="A27" s="13" t="n">
        <v>5</v>
      </c>
      <c r="B27" s="13" t="s">
        <v>553</v>
      </c>
      <c r="C27" s="13" t="s">
        <v>569</v>
      </c>
      <c r="D27" s="13" t="s">
        <v>570</v>
      </c>
      <c r="E27" s="13" t="str">
        <f aca="false">IF('🧬 DNA Loop Engine'!B5&gt;=624,"⭐ CURRENT","⏳")</f>
        <v>⏳</v>
      </c>
    </row>
    <row r="30" customFormat="false" ht="15" hidden="false" customHeight="true" outlineLevel="0" collapsed="false">
      <c r="A30" s="26" t="s">
        <v>571</v>
      </c>
    </row>
    <row r="31" customFormat="false" ht="23.25" hidden="false" customHeight="true" outlineLevel="0" collapsed="false">
      <c r="A31" s="27" t="s">
        <v>572</v>
      </c>
      <c r="B31" s="27" t="s">
        <v>573</v>
      </c>
      <c r="C31" s="27" t="s">
        <v>574</v>
      </c>
      <c r="D31" s="27" t="s">
        <v>575</v>
      </c>
      <c r="E31" s="27" t="s">
        <v>576</v>
      </c>
      <c r="F31" s="27" t="s">
        <v>577</v>
      </c>
      <c r="G31" s="27" t="s">
        <v>578</v>
      </c>
      <c r="H31" s="27" t="s">
        <v>215</v>
      </c>
    </row>
    <row r="32" customFormat="false" ht="23.25" hidden="false" customHeight="true" outlineLevel="0" collapsed="false">
      <c r="A32" s="13" t="s">
        <v>579</v>
      </c>
      <c r="B32" s="13" t="s">
        <v>580</v>
      </c>
      <c r="C32" s="13" t="s">
        <v>581</v>
      </c>
      <c r="D32" s="13" t="n">
        <v>0.4</v>
      </c>
      <c r="E32" s="13" t="n">
        <v>0.2</v>
      </c>
      <c r="F32" s="13" t="n">
        <v>0.9</v>
      </c>
      <c r="G32" s="13" t="n">
        <v>0.95</v>
      </c>
      <c r="H32" s="13" t="s">
        <v>582</v>
      </c>
    </row>
    <row r="33" customFormat="false" ht="23.25" hidden="false" customHeight="true" outlineLevel="0" collapsed="false">
      <c r="A33" s="14" t="s">
        <v>583</v>
      </c>
      <c r="B33" s="14" t="s">
        <v>584</v>
      </c>
      <c r="C33" s="14" t="s">
        <v>585</v>
      </c>
      <c r="D33" s="14" t="n">
        <v>0.3</v>
      </c>
      <c r="E33" s="14" t="n">
        <v>0.6</v>
      </c>
      <c r="F33" s="14" t="n">
        <v>0.4</v>
      </c>
      <c r="G33" s="14" t="n">
        <v>0.88</v>
      </c>
      <c r="H33" s="14" t="s">
        <v>582</v>
      </c>
    </row>
    <row r="34" customFormat="false" ht="23.25" hidden="false" customHeight="true" outlineLevel="0" collapsed="false">
      <c r="A34" s="13" t="s">
        <v>586</v>
      </c>
      <c r="B34" s="13" t="s">
        <v>587</v>
      </c>
      <c r="C34" s="13" t="s">
        <v>588</v>
      </c>
      <c r="D34" s="13" t="n">
        <v>0.1</v>
      </c>
      <c r="E34" s="13" t="n">
        <v>0.2</v>
      </c>
      <c r="F34" s="13" t="n">
        <v>0.8</v>
      </c>
      <c r="G34" s="13" t="n">
        <v>0.91</v>
      </c>
      <c r="H34" s="13" t="s">
        <v>582</v>
      </c>
    </row>
    <row r="35" customFormat="false" ht="23.25" hidden="false" customHeight="true" outlineLevel="0" collapsed="false">
      <c r="A35" s="14" t="s">
        <v>589</v>
      </c>
      <c r="B35" s="14" t="s">
        <v>590</v>
      </c>
      <c r="C35" s="14" t="s">
        <v>591</v>
      </c>
      <c r="D35" s="14" t="n">
        <v>0.3</v>
      </c>
      <c r="E35" s="14" t="n">
        <v>0.4</v>
      </c>
      <c r="F35" s="14" t="n">
        <v>0.6</v>
      </c>
      <c r="G35" s="14" t="n">
        <v>0.82</v>
      </c>
      <c r="H35" s="14" t="s">
        <v>582</v>
      </c>
    </row>
    <row r="36" customFormat="false" ht="15" hidden="false" customHeight="true" outlineLevel="0" collapsed="false">
      <c r="A36" s="13" t="s">
        <v>592</v>
      </c>
      <c r="B36" s="13" t="s">
        <v>580</v>
      </c>
      <c r="C36" s="13" t="s">
        <v>593</v>
      </c>
      <c r="D36" s="13" t="n">
        <v>0.7</v>
      </c>
      <c r="E36" s="13" t="n">
        <v>0.5</v>
      </c>
      <c r="F36" s="13" t="n">
        <v>0.3</v>
      </c>
      <c r="G36" s="13" t="n">
        <v>0.61</v>
      </c>
      <c r="H36" s="13" t="s">
        <v>594</v>
      </c>
    </row>
    <row r="37" customFormat="false" ht="15" hidden="false" customHeight="true" outlineLevel="0" collapsed="false">
      <c r="A37" s="14" t="s">
        <v>595</v>
      </c>
      <c r="B37" s="14" t="s">
        <v>584</v>
      </c>
      <c r="C37" s="14" t="s">
        <v>596</v>
      </c>
      <c r="D37" s="14" t="n">
        <v>0.3</v>
      </c>
      <c r="E37" s="14" t="n">
        <v>0.7</v>
      </c>
      <c r="F37" s="14" t="n">
        <v>0.5</v>
      </c>
      <c r="G37" s="14" t="n">
        <v>0.58</v>
      </c>
      <c r="H37" s="14" t="s">
        <v>594</v>
      </c>
    </row>
    <row r="38" customFormat="false" ht="34.5" hidden="false" customHeight="true" outlineLevel="0" collapsed="false">
      <c r="A38" s="13" t="s">
        <v>597</v>
      </c>
      <c r="B38" s="13" t="s">
        <v>580</v>
      </c>
      <c r="C38" s="13" t="s">
        <v>598</v>
      </c>
      <c r="D38" s="13" t="n">
        <v>0.8</v>
      </c>
      <c r="E38" s="13" t="n">
        <v>0.2</v>
      </c>
      <c r="F38" s="13" t="n">
        <v>0.4</v>
      </c>
      <c r="G38" s="13" t="n">
        <v>0.28</v>
      </c>
      <c r="H38" s="13" t="s">
        <v>599</v>
      </c>
    </row>
    <row r="39" customFormat="false" ht="34.5" hidden="false" customHeight="true" outlineLevel="0" collapsed="false">
      <c r="A39" s="14" t="s">
        <v>600</v>
      </c>
      <c r="B39" s="14" t="s">
        <v>584</v>
      </c>
      <c r="C39" s="14" t="s">
        <v>601</v>
      </c>
      <c r="D39" s="14" t="n">
        <v>0.1</v>
      </c>
      <c r="E39" s="14" t="n">
        <v>0.3</v>
      </c>
      <c r="F39" s="14" t="n">
        <v>0.5</v>
      </c>
      <c r="G39" s="14" t="n">
        <v>0.19</v>
      </c>
      <c r="H39" s="14" t="s">
        <v>599</v>
      </c>
    </row>
    <row r="40" customFormat="false" ht="34.5" hidden="false" customHeight="true" outlineLevel="0" collapsed="false">
      <c r="A40" s="13" t="s">
        <v>602</v>
      </c>
      <c r="B40" s="13" t="s">
        <v>580</v>
      </c>
      <c r="C40" s="13" t="s">
        <v>603</v>
      </c>
      <c r="D40" s="13" t="n">
        <v>0.4</v>
      </c>
      <c r="E40" s="13" t="n">
        <v>0.2</v>
      </c>
      <c r="F40" s="13" t="n">
        <v>0.8</v>
      </c>
      <c r="G40" s="13" t="n">
        <v>0.22</v>
      </c>
      <c r="H40" s="13" t="s">
        <v>599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4"/>
    <col collapsed="false" customWidth="true" hidden="false" outlineLevel="0" max="3" min="3" style="1" width="28"/>
    <col collapsed="false" customWidth="true" hidden="false" outlineLevel="0" max="4" min="4" style="1" width="22"/>
    <col collapsed="false" customWidth="true" hidden="false" outlineLevel="0" max="6" min="5" style="1" width="18"/>
  </cols>
  <sheetData>
    <row r="1" customFormat="false" ht="35.25" hidden="false" customHeight="true" outlineLevel="0" collapsed="false">
      <c r="A1" s="28" t="s">
        <v>604</v>
      </c>
    </row>
    <row r="2" customFormat="false" ht="32.25" hidden="false" customHeight="true" outlineLevel="0" collapsed="false">
      <c r="A2" s="3" t="s">
        <v>605</v>
      </c>
    </row>
    <row r="3" customFormat="false" ht="30" hidden="false" customHeight="true" outlineLevel="0" collapsed="false">
      <c r="A3" s="4" t="s">
        <v>213</v>
      </c>
    </row>
    <row r="5" customFormat="false" ht="15" hidden="false" customHeight="true" outlineLevel="0" collapsed="false">
      <c r="A5" s="29" t="s">
        <v>214</v>
      </c>
    </row>
    <row r="6" customFormat="false" ht="15" hidden="false" customHeight="true" outlineLevel="0" collapsed="false">
      <c r="A6" s="30" t="s">
        <v>4</v>
      </c>
      <c r="B6" s="30" t="s">
        <v>5</v>
      </c>
      <c r="C6" s="30" t="s">
        <v>6</v>
      </c>
      <c r="D6" s="30" t="s">
        <v>215</v>
      </c>
    </row>
    <row r="7" customFormat="false" ht="15" hidden="false" customHeight="true" outlineLevel="0" collapsed="false">
      <c r="A7" s="13" t="s">
        <v>8</v>
      </c>
      <c r="B7" s="13" t="n">
        <f aca="false">'🧬 DNA Loop Engine'!B4</f>
        <v>0</v>
      </c>
      <c r="C7" s="13" t="s">
        <v>9</v>
      </c>
      <c r="D7" s="13"/>
    </row>
    <row r="8" customFormat="false" ht="15" hidden="false" customHeight="true" outlineLevel="0" collapsed="false">
      <c r="A8" s="14" t="s">
        <v>11</v>
      </c>
      <c r="B8" s="14" t="n">
        <f aca="false">'🧬 DNA Loop Engine'!B5</f>
        <v>0</v>
      </c>
      <c r="C8" s="14" t="s">
        <v>12</v>
      </c>
      <c r="D8" s="14"/>
    </row>
    <row r="9" customFormat="false" ht="15" hidden="false" customHeight="true" outlineLevel="0" collapsed="false">
      <c r="A9" s="13" t="s">
        <v>14</v>
      </c>
      <c r="B9" s="13" t="n">
        <f aca="false">'🧬 DNA Loop Engine'!B15</f>
        <v>0</v>
      </c>
      <c r="C9" s="13"/>
      <c r="D9" s="13"/>
    </row>
    <row r="12" customFormat="false" ht="27.75" hidden="false" customHeight="true" outlineLevel="0" collapsed="false">
      <c r="A12" s="29" t="s">
        <v>606</v>
      </c>
    </row>
    <row r="13" customFormat="false" ht="15" hidden="false" customHeight="true" outlineLevel="0" collapsed="false">
      <c r="A13" s="30" t="s">
        <v>41</v>
      </c>
      <c r="B13" s="30" t="s">
        <v>64</v>
      </c>
      <c r="C13" s="30" t="s">
        <v>386</v>
      </c>
      <c r="D13" s="30" t="s">
        <v>607</v>
      </c>
      <c r="E13" s="30" t="s">
        <v>66</v>
      </c>
    </row>
    <row r="14" customFormat="false" ht="15" hidden="false" customHeight="true" outlineLevel="0" collapsed="false">
      <c r="A14" s="13" t="n">
        <v>0</v>
      </c>
      <c r="B14" s="13" t="s">
        <v>70</v>
      </c>
      <c r="C14" s="13" t="s">
        <v>608</v>
      </c>
      <c r="D14" s="13" t="s">
        <v>609</v>
      </c>
      <c r="E14" s="13" t="str">
        <f aca="false">IF('🧬 DNA Loop Engine'!B5&gt;=40,"✅ Past",IF('🧬 DNA Loop Engine'!B5&gt;=0,"⭐ CURRENT","⏳"))</f>
        <v>⭐ CURRENT</v>
      </c>
    </row>
    <row r="15" customFormat="false" ht="34.5" hidden="false" customHeight="true" outlineLevel="0" collapsed="false">
      <c r="A15" s="14" t="n">
        <v>1</v>
      </c>
      <c r="B15" s="14" t="s">
        <v>558</v>
      </c>
      <c r="C15" s="14" t="s">
        <v>610</v>
      </c>
      <c r="D15" s="14" t="s">
        <v>611</v>
      </c>
      <c r="E15" s="14" t="str">
        <f aca="false">IF('🧬 DNA Loop Engine'!B5&gt;=156,"✅ Past",IF('🧬 DNA Loop Engine'!B5&gt;=40,"⭐ CURRENT","⏳"))</f>
        <v>⏳</v>
      </c>
    </row>
    <row r="16" customFormat="false" ht="23.25" hidden="false" customHeight="true" outlineLevel="0" collapsed="false">
      <c r="A16" s="13" t="n">
        <v>2</v>
      </c>
      <c r="B16" s="13" t="s">
        <v>362</v>
      </c>
      <c r="C16" s="13" t="s">
        <v>612</v>
      </c>
      <c r="D16" s="13" t="s">
        <v>613</v>
      </c>
      <c r="E16" s="13" t="str">
        <f aca="false">IF('🧬 DNA Loop Engine'!B5&gt;=312,"✅ Past",IF('🧬 DNA Loop Engine'!B5&gt;=156,"⭐ CURRENT","⏳"))</f>
        <v>⏳</v>
      </c>
    </row>
    <row r="17" customFormat="false" ht="23.25" hidden="false" customHeight="true" outlineLevel="0" collapsed="false">
      <c r="A17" s="14" t="n">
        <v>3</v>
      </c>
      <c r="B17" s="14" t="s">
        <v>368</v>
      </c>
      <c r="C17" s="14" t="s">
        <v>614</v>
      </c>
      <c r="D17" s="14" t="s">
        <v>615</v>
      </c>
      <c r="E17" s="14" t="str">
        <f aca="false">IF('🧬 DNA Loop Engine'!B5&gt;=624,"✅ Past",IF('🧬 DNA Loop Engine'!B5&gt;=312,"⭐ CURRENT","⏳"))</f>
        <v>⏳</v>
      </c>
    </row>
    <row r="18" customFormat="false" ht="23.25" hidden="false" customHeight="true" outlineLevel="0" collapsed="false">
      <c r="A18" s="13" t="n">
        <v>4</v>
      </c>
      <c r="B18" s="13" t="s">
        <v>616</v>
      </c>
      <c r="C18" s="13" t="s">
        <v>617</v>
      </c>
      <c r="D18" s="13" t="s">
        <v>618</v>
      </c>
      <c r="E18" s="13" t="str">
        <f aca="false">IF('🧬 DNA Loop Engine'!B5&gt;=1200,"✅ Past",IF('🧬 DNA Loop Engine'!B5&gt;=624,"⭐ CURRENT","⏳"))</f>
        <v>⏳</v>
      </c>
    </row>
    <row r="19" customFormat="false" ht="15" hidden="false" customHeight="true" outlineLevel="0" collapsed="false">
      <c r="A19" s="14" t="n">
        <v>5</v>
      </c>
      <c r="B19" s="14" t="s">
        <v>619</v>
      </c>
      <c r="C19" s="14" t="s">
        <v>620</v>
      </c>
      <c r="D19" s="14" t="s">
        <v>621</v>
      </c>
      <c r="E19" s="14" t="str">
        <f aca="false">IF('🧬 DNA Loop Engine'!B5&gt;=1200,"⭐ CURRENT","⏳")</f>
        <v>⏳</v>
      </c>
    </row>
    <row r="22" customFormat="false" ht="15" hidden="false" customHeight="true" outlineLevel="0" collapsed="false">
      <c r="A22" s="29" t="s">
        <v>622</v>
      </c>
    </row>
    <row r="23" customFormat="false" ht="15" hidden="false" customHeight="true" outlineLevel="0" collapsed="false">
      <c r="A23" s="30" t="s">
        <v>623</v>
      </c>
      <c r="B23" s="30" t="s">
        <v>624</v>
      </c>
      <c r="C23" s="30" t="s">
        <v>625</v>
      </c>
      <c r="D23" s="30" t="s">
        <v>626</v>
      </c>
      <c r="E23" s="30" t="s">
        <v>627</v>
      </c>
      <c r="F23" s="30" t="s">
        <v>628</v>
      </c>
      <c r="G23" s="30" t="s">
        <v>629</v>
      </c>
      <c r="H23" s="30" t="s">
        <v>630</v>
      </c>
    </row>
    <row r="24" customFormat="false" ht="23.25" hidden="false" customHeight="true" outlineLevel="0" collapsed="false">
      <c r="A24" s="13" t="s">
        <v>631</v>
      </c>
      <c r="B24" s="13" t="s">
        <v>632</v>
      </c>
      <c r="C24" s="13" t="s">
        <v>633</v>
      </c>
      <c r="D24" s="13" t="n">
        <v>0.95</v>
      </c>
      <c r="E24" s="13" t="s">
        <v>634</v>
      </c>
      <c r="F24" s="13" t="s">
        <v>635</v>
      </c>
      <c r="G24" s="13" t="n">
        <v>1090</v>
      </c>
      <c r="H24" s="13" t="n">
        <v>880</v>
      </c>
    </row>
    <row r="25" customFormat="false" ht="23.25" hidden="false" customHeight="true" outlineLevel="0" collapsed="false">
      <c r="A25" s="14" t="s">
        <v>636</v>
      </c>
      <c r="B25" s="14" t="s">
        <v>637</v>
      </c>
      <c r="C25" s="14" t="s">
        <v>638</v>
      </c>
      <c r="D25" s="14" t="n">
        <v>0.7</v>
      </c>
      <c r="E25" s="14" t="s">
        <v>639</v>
      </c>
      <c r="F25" s="14" t="s">
        <v>640</v>
      </c>
      <c r="G25" s="14" t="n">
        <v>1050</v>
      </c>
      <c r="H25" s="14" t="n">
        <v>900</v>
      </c>
    </row>
    <row r="26" customFormat="false" ht="23.25" hidden="false" customHeight="true" outlineLevel="0" collapsed="false">
      <c r="A26" s="13" t="s">
        <v>641</v>
      </c>
      <c r="B26" s="13" t="s">
        <v>642</v>
      </c>
      <c r="C26" s="13" t="s">
        <v>643</v>
      </c>
      <c r="D26" s="13" t="n">
        <v>0.65</v>
      </c>
      <c r="E26" s="13" t="s">
        <v>644</v>
      </c>
      <c r="F26" s="13" t="s">
        <v>645</v>
      </c>
      <c r="G26" s="13" t="n">
        <v>1050</v>
      </c>
      <c r="H26" s="13" t="n">
        <v>900</v>
      </c>
    </row>
    <row r="27" customFormat="false" ht="15" hidden="false" customHeight="true" outlineLevel="0" collapsed="false">
      <c r="A27" s="14" t="s">
        <v>646</v>
      </c>
      <c r="B27" s="14" t="s">
        <v>647</v>
      </c>
      <c r="C27" s="14" t="s">
        <v>648</v>
      </c>
      <c r="D27" s="14" t="n">
        <v>0.3</v>
      </c>
      <c r="E27" s="14" t="s">
        <v>649</v>
      </c>
      <c r="F27" s="14" t="s">
        <v>650</v>
      </c>
      <c r="G27" s="14" t="n">
        <v>1100</v>
      </c>
      <c r="H27" s="14" t="n">
        <v>870</v>
      </c>
    </row>
    <row r="30" customFormat="false" ht="27.75" hidden="false" customHeight="true" outlineLevel="0" collapsed="false">
      <c r="A30" s="29" t="s">
        <v>651</v>
      </c>
    </row>
    <row r="31" customFormat="false" ht="23.25" hidden="false" customHeight="true" outlineLevel="0" collapsed="false">
      <c r="A31" s="30" t="s">
        <v>652</v>
      </c>
      <c r="B31" s="30" t="s">
        <v>653</v>
      </c>
      <c r="C31" s="30" t="s">
        <v>654</v>
      </c>
      <c r="D31" s="30" t="s">
        <v>629</v>
      </c>
      <c r="E31" s="30" t="s">
        <v>630</v>
      </c>
      <c r="F31" s="30" t="s">
        <v>655</v>
      </c>
      <c r="G31" s="30" t="s">
        <v>627</v>
      </c>
    </row>
    <row r="32" customFormat="false" ht="45.75" hidden="false" customHeight="true" outlineLevel="0" collapsed="false">
      <c r="A32" s="13" t="s">
        <v>656</v>
      </c>
      <c r="B32" s="13" t="s">
        <v>657</v>
      </c>
      <c r="C32" s="13" t="s">
        <v>658</v>
      </c>
      <c r="D32" s="13" t="n">
        <v>0</v>
      </c>
      <c r="E32" s="13" t="n">
        <v>0</v>
      </c>
      <c r="F32" s="13" t="n">
        <v>1</v>
      </c>
      <c r="G32" s="13" t="s">
        <v>659</v>
      </c>
    </row>
    <row r="33" customFormat="false" ht="45.75" hidden="false" customHeight="true" outlineLevel="0" collapsed="false">
      <c r="A33" s="14" t="s">
        <v>660</v>
      </c>
      <c r="B33" s="14" t="s">
        <v>661</v>
      </c>
      <c r="C33" s="14" t="s">
        <v>662</v>
      </c>
      <c r="D33" s="14" t="n">
        <v>1090</v>
      </c>
      <c r="E33" s="14" t="n">
        <v>880</v>
      </c>
      <c r="F33" s="14" t="n">
        <v>1</v>
      </c>
      <c r="G33" s="14" t="s">
        <v>663</v>
      </c>
    </row>
    <row r="34" customFormat="false" ht="45.75" hidden="false" customHeight="true" outlineLevel="0" collapsed="false">
      <c r="A34" s="13" t="s">
        <v>664</v>
      </c>
      <c r="B34" s="13" t="s">
        <v>665</v>
      </c>
      <c r="C34" s="13" t="s">
        <v>662</v>
      </c>
      <c r="D34" s="13" t="n">
        <v>1050</v>
      </c>
      <c r="E34" s="13" t="n">
        <v>900</v>
      </c>
      <c r="F34" s="13" t="n">
        <v>0.8</v>
      </c>
      <c r="G34" s="13" t="s">
        <v>666</v>
      </c>
    </row>
    <row r="35" customFormat="false" ht="34.5" hidden="false" customHeight="true" outlineLevel="0" collapsed="false">
      <c r="A35" s="14" t="s">
        <v>667</v>
      </c>
      <c r="B35" s="14" t="s">
        <v>668</v>
      </c>
      <c r="C35" s="14" t="s">
        <v>662</v>
      </c>
      <c r="D35" s="14" t="n">
        <v>1100</v>
      </c>
      <c r="E35" s="14" t="n">
        <v>870</v>
      </c>
      <c r="F35" s="14" t="n">
        <v>0.6</v>
      </c>
      <c r="G35" s="14" t="s">
        <v>669</v>
      </c>
    </row>
    <row r="36" customFormat="false" ht="45.75" hidden="false" customHeight="true" outlineLevel="0" collapsed="false">
      <c r="A36" s="13" t="s">
        <v>670</v>
      </c>
      <c r="B36" s="13" t="s">
        <v>671</v>
      </c>
      <c r="C36" s="13" t="s">
        <v>672</v>
      </c>
      <c r="D36" s="13" t="n">
        <v>1090</v>
      </c>
      <c r="E36" s="13" t="n">
        <v>882</v>
      </c>
      <c r="F36" s="13" t="n">
        <v>1</v>
      </c>
      <c r="G36" s="13" t="s">
        <v>673</v>
      </c>
    </row>
    <row r="37" customFormat="false" ht="45.75" hidden="false" customHeight="true" outlineLevel="0" collapsed="false">
      <c r="A37" s="14" t="s">
        <v>674</v>
      </c>
      <c r="B37" s="14" t="s">
        <v>675</v>
      </c>
      <c r="C37" s="14" t="s">
        <v>672</v>
      </c>
      <c r="D37" s="14" t="n">
        <v>1090</v>
      </c>
      <c r="E37" s="14" t="n">
        <v>878</v>
      </c>
      <c r="F37" s="14" t="n">
        <v>1</v>
      </c>
      <c r="G37" s="14" t="s">
        <v>676</v>
      </c>
    </row>
    <row r="38" customFormat="false" ht="34.5" hidden="false" customHeight="true" outlineLevel="0" collapsed="false">
      <c r="A38" s="13" t="s">
        <v>677</v>
      </c>
      <c r="B38" s="13" t="s">
        <v>678</v>
      </c>
      <c r="C38" s="13" t="s">
        <v>672</v>
      </c>
      <c r="D38" s="13" t="n">
        <v>1092</v>
      </c>
      <c r="E38" s="13" t="n">
        <v>880</v>
      </c>
      <c r="F38" s="13" t="n">
        <v>1</v>
      </c>
      <c r="G38" s="13" t="s">
        <v>679</v>
      </c>
    </row>
    <row r="39" customFormat="false" ht="45.75" hidden="false" customHeight="true" outlineLevel="0" collapsed="false">
      <c r="A39" s="14" t="s">
        <v>680</v>
      </c>
      <c r="B39" s="14" t="s">
        <v>681</v>
      </c>
      <c r="C39" s="14" t="s">
        <v>682</v>
      </c>
      <c r="D39" s="14" t="n">
        <v>1090</v>
      </c>
      <c r="E39" s="14" t="n">
        <v>875</v>
      </c>
      <c r="F39" s="14" t="n">
        <v>0.9</v>
      </c>
      <c r="G39" s="14" t="s">
        <v>683</v>
      </c>
    </row>
    <row r="40" customFormat="false" ht="34.5" hidden="false" customHeight="true" outlineLevel="0" collapsed="false">
      <c r="A40" s="13" t="s">
        <v>684</v>
      </c>
      <c r="B40" s="13" t="s">
        <v>685</v>
      </c>
      <c r="C40" s="13" t="s">
        <v>686</v>
      </c>
      <c r="D40" s="13" t="n">
        <v>1090</v>
      </c>
      <c r="E40" s="13" t="n">
        <v>860</v>
      </c>
      <c r="F40" s="13" t="n">
        <v>1</v>
      </c>
      <c r="G40" s="13" t="s">
        <v>687</v>
      </c>
    </row>
    <row r="41" customFormat="false" ht="45.75" hidden="false" customHeight="true" outlineLevel="0" collapsed="false">
      <c r="A41" s="14" t="s">
        <v>688</v>
      </c>
      <c r="B41" s="14" t="s">
        <v>689</v>
      </c>
      <c r="C41" s="14" t="s">
        <v>690</v>
      </c>
      <c r="D41" s="14" t="n">
        <v>1000</v>
      </c>
      <c r="E41" s="14" t="n">
        <v>1000</v>
      </c>
      <c r="F41" s="14" t="n">
        <v>1</v>
      </c>
      <c r="G41" s="14" t="s">
        <v>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4"/>
    <col collapsed="false" customWidth="true" hidden="false" outlineLevel="0" max="3" min="3" style="1" width="28"/>
    <col collapsed="false" customWidth="true" hidden="false" outlineLevel="0" max="4" min="4" style="1" width="22"/>
    <col collapsed="false" customWidth="true" hidden="false" outlineLevel="0" max="6" min="5" style="1" width="18"/>
  </cols>
  <sheetData>
    <row r="1" customFormat="false" ht="18" hidden="false" customHeight="true" outlineLevel="0" collapsed="false">
      <c r="A1" s="31" t="s">
        <v>692</v>
      </c>
    </row>
    <row r="2" customFormat="false" ht="32.25" hidden="false" customHeight="true" outlineLevel="0" collapsed="false">
      <c r="A2" s="3" t="s">
        <v>693</v>
      </c>
    </row>
    <row r="3" customFormat="false" ht="30" hidden="false" customHeight="true" outlineLevel="0" collapsed="false">
      <c r="A3" s="4" t="s">
        <v>213</v>
      </c>
    </row>
    <row r="5" customFormat="false" ht="15" hidden="false" customHeight="true" outlineLevel="0" collapsed="false">
      <c r="A5" s="32" t="s">
        <v>214</v>
      </c>
    </row>
    <row r="6" customFormat="false" ht="15" hidden="false" customHeight="true" outlineLevel="0" collapsed="false">
      <c r="A6" s="33" t="s">
        <v>4</v>
      </c>
      <c r="B6" s="33" t="s">
        <v>5</v>
      </c>
      <c r="C6" s="33" t="s">
        <v>6</v>
      </c>
      <c r="D6" s="33" t="s">
        <v>215</v>
      </c>
    </row>
    <row r="7" customFormat="false" ht="15" hidden="false" customHeight="true" outlineLevel="0" collapsed="false">
      <c r="A7" s="13" t="s">
        <v>8</v>
      </c>
      <c r="B7" s="13" t="n">
        <f aca="false">'🧬 DNA Loop Engine'!B4</f>
        <v>0</v>
      </c>
      <c r="C7" s="13" t="s">
        <v>9</v>
      </c>
      <c r="D7" s="13"/>
    </row>
    <row r="8" customFormat="false" ht="15" hidden="false" customHeight="true" outlineLevel="0" collapsed="false">
      <c r="A8" s="14" t="s">
        <v>11</v>
      </c>
      <c r="B8" s="14" t="n">
        <f aca="false">'🧬 DNA Loop Engine'!B5</f>
        <v>0</v>
      </c>
      <c r="C8" s="14" t="s">
        <v>12</v>
      </c>
      <c r="D8" s="14"/>
    </row>
    <row r="9" customFormat="false" ht="15" hidden="false" customHeight="true" outlineLevel="0" collapsed="false">
      <c r="A9" s="13" t="s">
        <v>14</v>
      </c>
      <c r="B9" s="13" t="n">
        <f aca="false">'🧬 DNA Loop Engine'!B15</f>
        <v>0</v>
      </c>
      <c r="C9" s="13"/>
      <c r="D9" s="13"/>
    </row>
    <row r="12" customFormat="false" ht="27.75" hidden="false" customHeight="true" outlineLevel="0" collapsed="false">
      <c r="A12" s="32" t="s">
        <v>694</v>
      </c>
    </row>
    <row r="13" customFormat="false" ht="15" hidden="false" customHeight="true" outlineLevel="0" collapsed="false">
      <c r="A13" s="33" t="s">
        <v>41</v>
      </c>
      <c r="B13" s="33" t="s">
        <v>64</v>
      </c>
      <c r="C13" s="33" t="s">
        <v>695</v>
      </c>
      <c r="D13" s="33" t="s">
        <v>696</v>
      </c>
      <c r="E13" s="33" t="s">
        <v>66</v>
      </c>
    </row>
    <row r="14" customFormat="false" ht="15" hidden="false" customHeight="true" outlineLevel="0" collapsed="false">
      <c r="A14" s="13" t="n">
        <v>0</v>
      </c>
      <c r="B14" s="13" t="s">
        <v>70</v>
      </c>
      <c r="C14" s="13" t="s">
        <v>697</v>
      </c>
      <c r="D14" s="13" t="s">
        <v>698</v>
      </c>
      <c r="E14" s="13" t="str">
        <f aca="false">IF('🧬 DNA Loop Engine'!B5&gt;=40,"✅ Past",IF('🧬 DNA Loop Engine'!B5&gt;=0,"⭐ CURRENT","⏳"))</f>
        <v>⭐ CURRENT</v>
      </c>
    </row>
    <row r="15" customFormat="false" ht="23.25" hidden="false" customHeight="true" outlineLevel="0" collapsed="false">
      <c r="A15" s="14" t="n">
        <v>1</v>
      </c>
      <c r="B15" s="14" t="s">
        <v>558</v>
      </c>
      <c r="C15" s="14" t="s">
        <v>699</v>
      </c>
      <c r="D15" s="14" t="s">
        <v>700</v>
      </c>
      <c r="E15" s="14" t="str">
        <f aca="false">IF('🧬 DNA Loop Engine'!B5&gt;=156,"✅ Past",IF('🧬 DNA Loop Engine'!B5&gt;=40,"⭐ CURRENT","⏳"))</f>
        <v>⏳</v>
      </c>
    </row>
    <row r="16" customFormat="false" ht="23.25" hidden="false" customHeight="true" outlineLevel="0" collapsed="false">
      <c r="A16" s="13" t="n">
        <v>2</v>
      </c>
      <c r="B16" s="13" t="s">
        <v>362</v>
      </c>
      <c r="C16" s="13" t="s">
        <v>701</v>
      </c>
      <c r="D16" s="13" t="s">
        <v>702</v>
      </c>
      <c r="E16" s="13" t="str">
        <f aca="false">IF('🧬 DNA Loop Engine'!B5&gt;=312,"✅ Past",IF('🧬 DNA Loop Engine'!B5&gt;=156,"⭐ CURRENT","⏳"))</f>
        <v>⏳</v>
      </c>
    </row>
    <row r="17" customFormat="false" ht="23.25" hidden="false" customHeight="true" outlineLevel="0" collapsed="false">
      <c r="A17" s="14" t="n">
        <v>3</v>
      </c>
      <c r="B17" s="14" t="s">
        <v>368</v>
      </c>
      <c r="C17" s="14" t="s">
        <v>703</v>
      </c>
      <c r="D17" s="14" t="s">
        <v>704</v>
      </c>
      <c r="E17" s="14" t="str">
        <f aca="false">IF('🧬 DNA Loop Engine'!B5&gt;=624,"✅ Past",IF('🧬 DNA Loop Engine'!B5&gt;=312,"⭐ CURRENT","⏳"))</f>
        <v>⏳</v>
      </c>
    </row>
    <row r="18" customFormat="false" ht="23.25" hidden="false" customHeight="true" outlineLevel="0" collapsed="false">
      <c r="A18" s="13" t="n">
        <v>4</v>
      </c>
      <c r="B18" s="13" t="s">
        <v>90</v>
      </c>
      <c r="C18" s="13" t="s">
        <v>705</v>
      </c>
      <c r="D18" s="13" t="s">
        <v>706</v>
      </c>
      <c r="E18" s="13" t="str">
        <f aca="false">IF('🧬 DNA Loop Engine'!B5&gt;=936,"✅ Past",IF('🧬 DNA Loop Engine'!B5&gt;=624,"⭐ CURRENT","⏳"))</f>
        <v>⏳</v>
      </c>
    </row>
    <row r="19" customFormat="false" ht="23.25" hidden="false" customHeight="true" outlineLevel="0" collapsed="false">
      <c r="A19" s="14" t="n">
        <v>5</v>
      </c>
      <c r="B19" s="14" t="s">
        <v>707</v>
      </c>
      <c r="C19" s="14" t="s">
        <v>708</v>
      </c>
      <c r="D19" s="14" t="s">
        <v>709</v>
      </c>
      <c r="E19" s="14" t="str">
        <f aca="false">IF('🧬 DNA Loop Engine'!B5&gt;=1200,"✅ Past",IF('🧬 DNA Loop Engine'!B5&gt;=936,"⭐ CURRENT","⏳"))</f>
        <v>⏳</v>
      </c>
    </row>
    <row r="20" customFormat="false" ht="23.25" hidden="false" customHeight="true" outlineLevel="0" collapsed="false">
      <c r="A20" s="13" t="n">
        <v>6</v>
      </c>
      <c r="B20" s="13" t="s">
        <v>619</v>
      </c>
      <c r="C20" s="13" t="s">
        <v>710</v>
      </c>
      <c r="D20" s="13" t="s">
        <v>711</v>
      </c>
      <c r="E20" s="13" t="str">
        <f aca="false">IF('🧬 DNA Loop Engine'!B5&gt;=1200,"⭐ CURRENT","⏳")</f>
        <v>⏳</v>
      </c>
    </row>
    <row r="23" customFormat="false" ht="15" hidden="false" customHeight="true" outlineLevel="0" collapsed="false">
      <c r="A23" s="32" t="s">
        <v>712</v>
      </c>
    </row>
    <row r="24" customFormat="false" ht="15" hidden="false" customHeight="true" outlineLevel="0" collapsed="false">
      <c r="A24" s="33" t="s">
        <v>409</v>
      </c>
      <c r="B24" s="33" t="s">
        <v>410</v>
      </c>
      <c r="C24" s="33" t="s">
        <v>411</v>
      </c>
      <c r="D24" s="33" t="s">
        <v>412</v>
      </c>
    </row>
    <row r="25" customFormat="false" ht="15" hidden="false" customHeight="true" outlineLevel="0" collapsed="false">
      <c r="A25" s="13" t="s">
        <v>713</v>
      </c>
      <c r="B25" s="13" t="s">
        <v>714</v>
      </c>
      <c r="C25" s="13" t="s">
        <v>715</v>
      </c>
      <c r="D25" s="13" t="s">
        <v>716</v>
      </c>
    </row>
    <row r="26" customFormat="false" ht="23.25" hidden="false" customHeight="true" outlineLevel="0" collapsed="false">
      <c r="A26" s="14" t="s">
        <v>717</v>
      </c>
      <c r="B26" s="14" t="s">
        <v>718</v>
      </c>
      <c r="C26" s="14" t="s">
        <v>719</v>
      </c>
      <c r="D26" s="14" t="s">
        <v>720</v>
      </c>
    </row>
    <row r="27" customFormat="false" ht="23.25" hidden="false" customHeight="true" outlineLevel="0" collapsed="false">
      <c r="A27" s="13" t="s">
        <v>721</v>
      </c>
      <c r="B27" s="13" t="s">
        <v>722</v>
      </c>
      <c r="C27" s="13" t="s">
        <v>723</v>
      </c>
      <c r="D27" s="13" t="s">
        <v>724</v>
      </c>
    </row>
    <row r="28" customFormat="false" ht="23.25" hidden="false" customHeight="true" outlineLevel="0" collapsed="false">
      <c r="A28" s="14" t="s">
        <v>725</v>
      </c>
      <c r="B28" s="14" t="s">
        <v>726</v>
      </c>
      <c r="C28" s="14" t="s">
        <v>727</v>
      </c>
      <c r="D28" s="14" t="s">
        <v>728</v>
      </c>
    </row>
    <row r="29" customFormat="false" ht="23.25" hidden="false" customHeight="true" outlineLevel="0" collapsed="false">
      <c r="A29" s="13" t="s">
        <v>729</v>
      </c>
      <c r="B29" s="13" t="s">
        <v>730</v>
      </c>
      <c r="C29" s="13" t="s">
        <v>731</v>
      </c>
      <c r="D29" s="13" t="s">
        <v>732</v>
      </c>
    </row>
    <row r="30" customFormat="false" ht="15" hidden="false" customHeight="true" outlineLevel="0" collapsed="false">
      <c r="A30" s="14" t="s">
        <v>733</v>
      </c>
      <c r="B30" s="14" t="s">
        <v>734</v>
      </c>
      <c r="C30" s="14" t="s">
        <v>735</v>
      </c>
      <c r="D30" s="14" t="s">
        <v>736</v>
      </c>
    </row>
    <row r="33" customFormat="false" ht="15" hidden="false" customHeight="true" outlineLevel="0" collapsed="false">
      <c r="A33" s="32" t="s">
        <v>737</v>
      </c>
    </row>
    <row r="34" customFormat="false" ht="15" hidden="false" customHeight="true" outlineLevel="0" collapsed="false">
      <c r="A34" s="33" t="s">
        <v>738</v>
      </c>
      <c r="B34" s="33" t="s">
        <v>62</v>
      </c>
      <c r="C34" s="33" t="s">
        <v>739</v>
      </c>
      <c r="D34" s="33" t="s">
        <v>740</v>
      </c>
      <c r="E34" s="33" t="s">
        <v>741</v>
      </c>
    </row>
    <row r="35" customFormat="false" ht="23.25" hidden="false" customHeight="true" outlineLevel="0" collapsed="false">
      <c r="A35" s="13" t="s">
        <v>742</v>
      </c>
      <c r="B35" s="13" t="s">
        <v>743</v>
      </c>
      <c r="C35" s="13" t="n">
        <v>0.72</v>
      </c>
      <c r="D35" s="13" t="n">
        <v>0.95</v>
      </c>
      <c r="E35" s="13" t="s">
        <v>744</v>
      </c>
    </row>
    <row r="36" customFormat="false" ht="23.25" hidden="false" customHeight="true" outlineLevel="0" collapsed="false">
      <c r="A36" s="14" t="s">
        <v>745</v>
      </c>
      <c r="B36" s="14" t="s">
        <v>746</v>
      </c>
      <c r="C36" s="14" t="n">
        <v>0.68</v>
      </c>
      <c r="D36" s="14" t="n">
        <v>0.9</v>
      </c>
      <c r="E36" s="14" t="s">
        <v>747</v>
      </c>
    </row>
    <row r="37" customFormat="false" ht="23.25" hidden="false" customHeight="true" outlineLevel="0" collapsed="false">
      <c r="A37" s="13" t="s">
        <v>748</v>
      </c>
      <c r="B37" s="13" t="s">
        <v>749</v>
      </c>
      <c r="C37" s="13" t="n">
        <v>0.81</v>
      </c>
      <c r="D37" s="13" t="n">
        <v>0.85</v>
      </c>
      <c r="E37" s="13" t="s">
        <v>750</v>
      </c>
    </row>
    <row r="38" customFormat="false" ht="15" hidden="false" customHeight="true" outlineLevel="0" collapsed="false">
      <c r="A38" s="14" t="s">
        <v>751</v>
      </c>
      <c r="B38" s="14" t="s">
        <v>752</v>
      </c>
      <c r="C38" s="14" t="n">
        <v>0.65</v>
      </c>
      <c r="D38" s="14" t="n">
        <v>0.95</v>
      </c>
      <c r="E38" s="14" t="s">
        <v>753</v>
      </c>
    </row>
    <row r="39" customFormat="false" ht="23.25" hidden="false" customHeight="true" outlineLevel="0" collapsed="false">
      <c r="A39" s="13" t="s">
        <v>754</v>
      </c>
      <c r="B39" s="13" t="s">
        <v>755</v>
      </c>
      <c r="C39" s="13" t="n">
        <v>0.59</v>
      </c>
      <c r="D39" s="13" t="n">
        <v>0.9</v>
      </c>
      <c r="E39" s="13" t="s">
        <v>756</v>
      </c>
    </row>
    <row r="40" customFormat="false" ht="15" hidden="false" customHeight="true" outlineLevel="0" collapsed="false">
      <c r="A40" s="14" t="s">
        <v>757</v>
      </c>
      <c r="B40" s="14" t="s">
        <v>758</v>
      </c>
      <c r="C40" s="14" t="n">
        <v>0.88</v>
      </c>
      <c r="D40" s="14" t="n">
        <v>0.9</v>
      </c>
      <c r="E40" s="14" t="s">
        <v>759</v>
      </c>
    </row>
    <row r="41" customFormat="false" ht="23.25" hidden="false" customHeight="true" outlineLevel="0" collapsed="false">
      <c r="A41" s="13" t="s">
        <v>760</v>
      </c>
      <c r="B41" s="13" t="s">
        <v>761</v>
      </c>
      <c r="C41" s="13" t="n">
        <v>0.45</v>
      </c>
      <c r="D41" s="13" t="n">
        <v>0.85</v>
      </c>
      <c r="E41" s="13" t="s">
        <v>762</v>
      </c>
    </row>
    <row r="42" customFormat="false" ht="23.25" hidden="false" customHeight="true" outlineLevel="0" collapsed="false">
      <c r="A42" s="14" t="s">
        <v>763</v>
      </c>
      <c r="B42" s="14" t="s">
        <v>764</v>
      </c>
      <c r="C42" s="14" t="n">
        <v>0.52</v>
      </c>
      <c r="D42" s="14" t="n">
        <v>0.9</v>
      </c>
      <c r="E42" s="14" t="s">
        <v>765</v>
      </c>
    </row>
    <row r="43" customFormat="false" ht="23.25" hidden="false" customHeight="true" outlineLevel="0" collapsed="false">
      <c r="A43" s="13" t="s">
        <v>766</v>
      </c>
      <c r="B43" s="13" t="s">
        <v>767</v>
      </c>
      <c r="C43" s="13" t="n">
        <v>0.41</v>
      </c>
      <c r="D43" s="13" t="n">
        <v>0.88</v>
      </c>
      <c r="E43" s="13" t="s">
        <v>768</v>
      </c>
    </row>
    <row r="44" customFormat="false" ht="23.25" hidden="false" customHeight="true" outlineLevel="0" collapsed="false">
      <c r="A44" s="14" t="s">
        <v>769</v>
      </c>
      <c r="B44" s="14" t="s">
        <v>770</v>
      </c>
      <c r="C44" s="14" t="n">
        <v>0.77</v>
      </c>
      <c r="D44" s="14" t="n">
        <v>0.85</v>
      </c>
      <c r="E44" s="14" t="s">
        <v>771</v>
      </c>
    </row>
    <row r="45" customFormat="false" ht="15" hidden="false" customHeight="true" outlineLevel="0" collapsed="false">
      <c r="A45" s="13" t="s">
        <v>772</v>
      </c>
      <c r="B45" s="13" t="s">
        <v>773</v>
      </c>
      <c r="C45" s="13" t="n">
        <v>0.74</v>
      </c>
      <c r="D45" s="13" t="n">
        <v>0.88</v>
      </c>
      <c r="E45" s="13" t="s">
        <v>774</v>
      </c>
    </row>
    <row r="46" customFormat="false" ht="15" hidden="false" customHeight="true" outlineLevel="0" collapsed="false">
      <c r="A46" s="14" t="s">
        <v>775</v>
      </c>
      <c r="B46" s="14" t="s">
        <v>776</v>
      </c>
      <c r="C46" s="14" t="n">
        <v>0.63</v>
      </c>
      <c r="D46" s="14" t="n">
        <v>0.9</v>
      </c>
      <c r="E46" s="14" t="s">
        <v>777</v>
      </c>
    </row>
    <row r="47" customFormat="false" ht="15" hidden="false" customHeight="true" outlineLevel="0" collapsed="false">
      <c r="A47" s="13" t="s">
        <v>778</v>
      </c>
      <c r="B47" s="13" t="s">
        <v>779</v>
      </c>
      <c r="C47" s="13" t="n">
        <v>0.55</v>
      </c>
      <c r="D47" s="13" t="n">
        <v>0.85</v>
      </c>
      <c r="E47" s="13" t="s">
        <v>780</v>
      </c>
    </row>
    <row r="48" customFormat="false" ht="15" hidden="false" customHeight="true" outlineLevel="0" collapsed="false">
      <c r="A48" s="14" t="s">
        <v>781</v>
      </c>
      <c r="B48" s="14" t="s">
        <v>782</v>
      </c>
      <c r="C48" s="14" t="n">
        <v>0.69</v>
      </c>
      <c r="D48" s="14" t="n">
        <v>0.88</v>
      </c>
      <c r="E48" s="14" t="s">
        <v>783</v>
      </c>
    </row>
    <row r="49" customFormat="false" ht="15" hidden="false" customHeight="true" outlineLevel="0" collapsed="false">
      <c r="A49" s="13" t="s">
        <v>784</v>
      </c>
      <c r="B49" s="13" t="s">
        <v>785</v>
      </c>
      <c r="C49" s="13" t="n">
        <v>0.71</v>
      </c>
      <c r="D49" s="13" t="n">
        <v>0.9</v>
      </c>
      <c r="E49" s="13" t="s">
        <v>786</v>
      </c>
    </row>
    <row r="50" customFormat="false" ht="15" hidden="false" customHeight="true" outlineLevel="0" collapsed="false">
      <c r="A50" s="14" t="s">
        <v>787</v>
      </c>
      <c r="B50" s="14" t="s">
        <v>788</v>
      </c>
      <c r="C50" s="14" t="n">
        <v>0.84</v>
      </c>
      <c r="D50" s="14" t="n">
        <v>0.88</v>
      </c>
      <c r="E50" s="14" t="s">
        <v>789</v>
      </c>
    </row>
    <row r="51" customFormat="false" ht="15" hidden="false" customHeight="true" outlineLevel="0" collapsed="false">
      <c r="A51" s="13" t="s">
        <v>790</v>
      </c>
      <c r="B51" s="13" t="s">
        <v>791</v>
      </c>
      <c r="C51" s="13" t="n">
        <v>0.48</v>
      </c>
      <c r="D51" s="13" t="n">
        <v>0.9</v>
      </c>
      <c r="E51" s="13" t="s">
        <v>792</v>
      </c>
    </row>
    <row r="52" customFormat="false" ht="23.25" hidden="false" customHeight="true" outlineLevel="0" collapsed="false">
      <c r="A52" s="14" t="s">
        <v>793</v>
      </c>
      <c r="B52" s="14" t="s">
        <v>794</v>
      </c>
      <c r="C52" s="14" t="n">
        <v>0.61</v>
      </c>
      <c r="D52" s="14" t="n">
        <v>0.88</v>
      </c>
      <c r="E52" s="14" t="s">
        <v>795</v>
      </c>
    </row>
    <row r="53" customFormat="false" ht="15" hidden="false" customHeight="true" outlineLevel="0" collapsed="false">
      <c r="A53" s="13" t="s">
        <v>796</v>
      </c>
      <c r="B53" s="13" t="s">
        <v>797</v>
      </c>
      <c r="C53" s="13" t="n">
        <v>0.57</v>
      </c>
      <c r="D53" s="13" t="n">
        <v>0.92</v>
      </c>
      <c r="E53" s="13" t="s">
        <v>798</v>
      </c>
    </row>
    <row r="54" customFormat="false" ht="15" hidden="false" customHeight="true" outlineLevel="0" collapsed="false">
      <c r="A54" s="14" t="s">
        <v>799</v>
      </c>
      <c r="B54" s="14" t="s">
        <v>800</v>
      </c>
      <c r="C54" s="14" t="n">
        <v>0.79</v>
      </c>
      <c r="D54" s="14" t="n">
        <v>0.85</v>
      </c>
      <c r="E54" s="14" t="s">
        <v>801</v>
      </c>
    </row>
    <row r="55" customFormat="false" ht="15" hidden="false" customHeight="true" outlineLevel="0" collapsed="false">
      <c r="A55" s="13" t="s">
        <v>802</v>
      </c>
      <c r="B55" s="13" t="s">
        <v>803</v>
      </c>
      <c r="C55" s="13" t="n">
        <v>0.66</v>
      </c>
      <c r="D55" s="13" t="n">
        <v>0.95</v>
      </c>
      <c r="E55" s="13" t="s">
        <v>804</v>
      </c>
    </row>
    <row r="56" customFormat="false" ht="23.25" hidden="false" customHeight="true" outlineLevel="0" collapsed="false">
      <c r="A56" s="14" t="s">
        <v>805</v>
      </c>
      <c r="B56" s="14" t="s">
        <v>806</v>
      </c>
      <c r="C56" s="14" t="n">
        <v>0.38</v>
      </c>
      <c r="D56" s="14" t="n">
        <v>0.9</v>
      </c>
      <c r="E56" s="14" t="s">
        <v>807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4"/>
    <col collapsed="false" customWidth="true" hidden="false" outlineLevel="0" max="3" min="3" style="1" width="28"/>
    <col collapsed="false" customWidth="true" hidden="false" outlineLevel="0" max="4" min="4" style="1" width="22"/>
    <col collapsed="false" customWidth="true" hidden="false" outlineLevel="0" max="6" min="5" style="1" width="18"/>
  </cols>
  <sheetData>
    <row r="1" customFormat="false" ht="18" hidden="false" customHeight="true" outlineLevel="0" collapsed="false">
      <c r="A1" s="34" t="s">
        <v>808</v>
      </c>
    </row>
    <row r="2" customFormat="false" ht="42.75" hidden="false" customHeight="true" outlineLevel="0" collapsed="false">
      <c r="A2" s="3" t="s">
        <v>809</v>
      </c>
    </row>
    <row r="3" customFormat="false" ht="30" hidden="false" customHeight="true" outlineLevel="0" collapsed="false">
      <c r="A3" s="4" t="s">
        <v>213</v>
      </c>
    </row>
    <row r="5" customFormat="false" ht="15" hidden="false" customHeight="true" outlineLevel="0" collapsed="false">
      <c r="A5" s="35" t="s">
        <v>214</v>
      </c>
    </row>
    <row r="6" customFormat="false" ht="15" hidden="false" customHeight="true" outlineLevel="0" collapsed="false">
      <c r="A6" s="36" t="s">
        <v>4</v>
      </c>
      <c r="B6" s="36" t="s">
        <v>5</v>
      </c>
      <c r="C6" s="36" t="s">
        <v>6</v>
      </c>
      <c r="D6" s="36" t="s">
        <v>215</v>
      </c>
    </row>
    <row r="7" customFormat="false" ht="15" hidden="false" customHeight="true" outlineLevel="0" collapsed="false">
      <c r="A7" s="13" t="s">
        <v>8</v>
      </c>
      <c r="B7" s="13" t="n">
        <f aca="false">'🧬 DNA Loop Engine'!B4</f>
        <v>0</v>
      </c>
      <c r="C7" s="13" t="s">
        <v>9</v>
      </c>
      <c r="D7" s="13"/>
    </row>
    <row r="8" customFormat="false" ht="15" hidden="false" customHeight="true" outlineLevel="0" collapsed="false">
      <c r="A8" s="14" t="s">
        <v>11</v>
      </c>
      <c r="B8" s="14" t="n">
        <f aca="false">'🧬 DNA Loop Engine'!B5</f>
        <v>0</v>
      </c>
      <c r="C8" s="14" t="s">
        <v>12</v>
      </c>
      <c r="D8" s="14"/>
    </row>
    <row r="9" customFormat="false" ht="15" hidden="false" customHeight="true" outlineLevel="0" collapsed="false">
      <c r="A9" s="13" t="s">
        <v>14</v>
      </c>
      <c r="B9" s="13" t="n">
        <f aca="false">'🧬 DNA Loop Engine'!B15</f>
        <v>0</v>
      </c>
      <c r="C9" s="13"/>
      <c r="D9" s="13"/>
    </row>
    <row r="12" customFormat="false" ht="15" hidden="false" customHeight="true" outlineLevel="0" collapsed="false">
      <c r="A12" s="35" t="s">
        <v>810</v>
      </c>
    </row>
    <row r="13" customFormat="false" ht="15" hidden="false" customHeight="true" outlineLevel="0" collapsed="false">
      <c r="A13" s="36" t="s">
        <v>409</v>
      </c>
      <c r="B13" s="36" t="s">
        <v>410</v>
      </c>
      <c r="C13" s="36" t="s">
        <v>811</v>
      </c>
      <c r="D13" s="36" t="s">
        <v>412</v>
      </c>
      <c r="E13" s="36" t="s">
        <v>812</v>
      </c>
    </row>
    <row r="14" customFormat="false" ht="23.25" hidden="false" customHeight="true" outlineLevel="0" collapsed="false">
      <c r="A14" s="13" t="s">
        <v>813</v>
      </c>
      <c r="B14" s="13" t="s">
        <v>814</v>
      </c>
      <c r="C14" s="13" t="s">
        <v>815</v>
      </c>
      <c r="D14" s="13" t="s">
        <v>816</v>
      </c>
      <c r="E14" s="13" t="s">
        <v>817</v>
      </c>
    </row>
    <row r="15" customFormat="false" ht="23.25" hidden="false" customHeight="true" outlineLevel="0" collapsed="false">
      <c r="A15" s="14" t="s">
        <v>59</v>
      </c>
      <c r="B15" s="14" t="s">
        <v>818</v>
      </c>
      <c r="C15" s="14" t="s">
        <v>819</v>
      </c>
      <c r="D15" s="14" t="s">
        <v>820</v>
      </c>
      <c r="E15" s="14" t="s">
        <v>817</v>
      </c>
    </row>
    <row r="16" customFormat="false" ht="23.25" hidden="false" customHeight="true" outlineLevel="0" collapsed="false">
      <c r="A16" s="13" t="s">
        <v>821</v>
      </c>
      <c r="B16" s="13" t="s">
        <v>822</v>
      </c>
      <c r="C16" s="13" t="s">
        <v>823</v>
      </c>
      <c r="D16" s="13" t="s">
        <v>824</v>
      </c>
      <c r="E16" s="13" t="s">
        <v>825</v>
      </c>
    </row>
    <row r="17" customFormat="false" ht="23.25" hidden="false" customHeight="true" outlineLevel="0" collapsed="false">
      <c r="A17" s="14" t="s">
        <v>826</v>
      </c>
      <c r="B17" s="14" t="s">
        <v>827</v>
      </c>
      <c r="C17" s="14" t="s">
        <v>828</v>
      </c>
      <c r="D17" s="14" t="s">
        <v>829</v>
      </c>
      <c r="E17" s="14" t="s">
        <v>830</v>
      </c>
    </row>
    <row r="20" customFormat="false" ht="27.75" hidden="false" customHeight="true" outlineLevel="0" collapsed="false">
      <c r="A20" s="35" t="s">
        <v>831</v>
      </c>
    </row>
    <row r="21" customFormat="false" ht="23.25" hidden="false" customHeight="true" outlineLevel="0" collapsed="false">
      <c r="A21" s="36" t="s">
        <v>174</v>
      </c>
      <c r="B21" s="36" t="s">
        <v>173</v>
      </c>
      <c r="C21" s="36" t="s">
        <v>832</v>
      </c>
      <c r="D21" s="36" t="s">
        <v>833</v>
      </c>
      <c r="E21" s="36" t="s">
        <v>834</v>
      </c>
      <c r="F21" s="36" t="s">
        <v>835</v>
      </c>
      <c r="G21" s="36" t="s">
        <v>836</v>
      </c>
    </row>
    <row r="22" customFormat="false" ht="23.25" hidden="false" customHeight="true" outlineLevel="0" collapsed="false">
      <c r="A22" s="13" t="n">
        <v>1200</v>
      </c>
      <c r="B22" s="13" t="n">
        <v>96000</v>
      </c>
      <c r="C22" s="13" t="n">
        <v>0.1</v>
      </c>
      <c r="D22" s="13" t="n">
        <v>0.3</v>
      </c>
      <c r="E22" s="13" t="n">
        <v>0.01</v>
      </c>
      <c r="F22" s="13" t="n">
        <v>0</v>
      </c>
      <c r="G22" s="13" t="s">
        <v>837</v>
      </c>
    </row>
    <row r="23" customFormat="false" ht="23.25" hidden="false" customHeight="true" outlineLevel="0" collapsed="false">
      <c r="A23" s="14" t="n">
        <v>1300</v>
      </c>
      <c r="B23" s="14" t="n">
        <v>104000</v>
      </c>
      <c r="C23" s="14" t="n">
        <v>0.22</v>
      </c>
      <c r="D23" s="14" t="n">
        <v>0.37</v>
      </c>
      <c r="E23" s="14" t="n">
        <v>0.05</v>
      </c>
      <c r="F23" s="14" t="n">
        <v>0.08</v>
      </c>
      <c r="G23" s="14" t="s">
        <v>838</v>
      </c>
    </row>
    <row r="24" customFormat="false" ht="34.5" hidden="false" customHeight="true" outlineLevel="0" collapsed="false">
      <c r="A24" s="13" t="n">
        <v>1400</v>
      </c>
      <c r="B24" s="13" t="n">
        <v>112000</v>
      </c>
      <c r="C24" s="13" t="n">
        <v>0.38</v>
      </c>
      <c r="D24" s="13" t="n">
        <v>0.44</v>
      </c>
      <c r="E24" s="13" t="n">
        <v>0.11</v>
      </c>
      <c r="F24" s="13" t="n">
        <v>0.19</v>
      </c>
      <c r="G24" s="13" t="s">
        <v>839</v>
      </c>
    </row>
    <row r="25" customFormat="false" ht="23.25" hidden="false" customHeight="true" outlineLevel="0" collapsed="false">
      <c r="A25" s="14" t="n">
        <v>1600</v>
      </c>
      <c r="B25" s="14" t="n">
        <v>128000</v>
      </c>
      <c r="C25" s="14" t="n">
        <v>0.63</v>
      </c>
      <c r="D25" s="14" t="n">
        <v>0.58</v>
      </c>
      <c r="E25" s="14" t="n">
        <v>0.25</v>
      </c>
      <c r="F25" s="14" t="n">
        <v>0.41</v>
      </c>
      <c r="G25" s="14" t="s">
        <v>840</v>
      </c>
    </row>
    <row r="26" customFormat="false" ht="34.5" hidden="false" customHeight="true" outlineLevel="0" collapsed="false">
      <c r="A26" s="13" t="n">
        <v>1800</v>
      </c>
      <c r="B26" s="13" t="n">
        <v>144000</v>
      </c>
      <c r="C26" s="13" t="n">
        <v>0.8</v>
      </c>
      <c r="D26" s="13" t="n">
        <v>0.72</v>
      </c>
      <c r="E26" s="13" t="n">
        <v>0.4</v>
      </c>
      <c r="F26" s="13" t="n">
        <v>0.67</v>
      </c>
      <c r="G26" s="13" t="s">
        <v>841</v>
      </c>
    </row>
    <row r="27" customFormat="false" ht="23.25" hidden="false" customHeight="true" outlineLevel="0" collapsed="false">
      <c r="A27" s="14" t="n">
        <v>2000</v>
      </c>
      <c r="B27" s="14" t="n">
        <v>160000</v>
      </c>
      <c r="C27" s="14" t="n">
        <v>0.95</v>
      </c>
      <c r="D27" s="14" t="n">
        <v>0.86</v>
      </c>
      <c r="E27" s="14" t="n">
        <v>0.55</v>
      </c>
      <c r="F27" s="14" t="n">
        <v>0.94</v>
      </c>
      <c r="G27" s="14" t="s">
        <v>842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4"/>
    <col collapsed="false" customWidth="true" hidden="false" outlineLevel="0" max="3" min="3" style="1" width="28"/>
    <col collapsed="false" customWidth="true" hidden="false" outlineLevel="0" max="4" min="4" style="1" width="22"/>
    <col collapsed="false" customWidth="true" hidden="false" outlineLevel="0" max="6" min="5" style="1" width="18"/>
  </cols>
  <sheetData>
    <row r="1" customFormat="false" ht="35.25" hidden="false" customHeight="true" outlineLevel="0" collapsed="false">
      <c r="A1" s="19" t="s">
        <v>843</v>
      </c>
    </row>
    <row r="2" customFormat="false" ht="32.25" hidden="false" customHeight="true" outlineLevel="0" collapsed="false">
      <c r="A2" s="3" t="s">
        <v>844</v>
      </c>
    </row>
    <row r="3" customFormat="false" ht="30" hidden="false" customHeight="true" outlineLevel="0" collapsed="false">
      <c r="A3" s="4" t="s">
        <v>213</v>
      </c>
    </row>
    <row r="5" customFormat="false" ht="15" hidden="false" customHeight="true" outlineLevel="0" collapsed="false">
      <c r="A5" s="20" t="s">
        <v>214</v>
      </c>
    </row>
    <row r="6" customFormat="false" ht="15" hidden="false" customHeight="true" outlineLevel="0" collapsed="false">
      <c r="A6" s="21" t="s">
        <v>4</v>
      </c>
      <c r="B6" s="21" t="s">
        <v>5</v>
      </c>
      <c r="C6" s="21" t="s">
        <v>6</v>
      </c>
      <c r="D6" s="21" t="s">
        <v>215</v>
      </c>
    </row>
    <row r="7" customFormat="false" ht="15" hidden="false" customHeight="true" outlineLevel="0" collapsed="false">
      <c r="A7" s="13" t="s">
        <v>8</v>
      </c>
      <c r="B7" s="13" t="n">
        <f aca="false">'🧬 DNA Loop Engine'!B4</f>
        <v>0</v>
      </c>
      <c r="C7" s="13" t="s">
        <v>9</v>
      </c>
      <c r="D7" s="13"/>
    </row>
    <row r="8" customFormat="false" ht="15" hidden="false" customHeight="true" outlineLevel="0" collapsed="false">
      <c r="A8" s="14" t="s">
        <v>11</v>
      </c>
      <c r="B8" s="14" t="n">
        <f aca="false">'🧬 DNA Loop Engine'!B5</f>
        <v>0</v>
      </c>
      <c r="C8" s="14" t="s">
        <v>12</v>
      </c>
      <c r="D8" s="14"/>
    </row>
    <row r="9" customFormat="false" ht="15" hidden="false" customHeight="true" outlineLevel="0" collapsed="false">
      <c r="A9" s="13" t="s">
        <v>14</v>
      </c>
      <c r="B9" s="13" t="n">
        <f aca="false">'🧬 DNA Loop Engine'!B15</f>
        <v>0</v>
      </c>
      <c r="C9" s="13"/>
      <c r="D9" s="13"/>
    </row>
    <row r="12" customFormat="false" ht="27.75" hidden="false" customHeight="true" outlineLevel="0" collapsed="false">
      <c r="A12" s="20" t="s">
        <v>845</v>
      </c>
    </row>
    <row r="13" customFormat="false" ht="15" hidden="false" customHeight="true" outlineLevel="0" collapsed="false">
      <c r="A13" s="21" t="s">
        <v>62</v>
      </c>
      <c r="B13" s="21" t="s">
        <v>846</v>
      </c>
      <c r="C13" s="21" t="s">
        <v>102</v>
      </c>
      <c r="D13" s="21" t="s">
        <v>847</v>
      </c>
      <c r="E13" s="21" t="s">
        <v>848</v>
      </c>
    </row>
    <row r="14" customFormat="false" ht="15" hidden="false" customHeight="true" outlineLevel="0" collapsed="false">
      <c r="A14" s="13" t="s">
        <v>849</v>
      </c>
      <c r="B14" s="13" t="s">
        <v>850</v>
      </c>
      <c r="C14" s="13" t="s">
        <v>851</v>
      </c>
      <c r="D14" s="13" t="s">
        <v>852</v>
      </c>
      <c r="E14" s="13" t="s">
        <v>853</v>
      </c>
    </row>
    <row r="15" customFormat="false" ht="15" hidden="false" customHeight="true" outlineLevel="0" collapsed="false">
      <c r="A15" s="14" t="s">
        <v>854</v>
      </c>
      <c r="B15" s="14" t="s">
        <v>855</v>
      </c>
      <c r="C15" s="14" t="s">
        <v>856</v>
      </c>
      <c r="D15" s="14" t="s">
        <v>852</v>
      </c>
      <c r="E15" s="14" t="s">
        <v>857</v>
      </c>
    </row>
    <row r="16" customFormat="false" ht="15" hidden="false" customHeight="true" outlineLevel="0" collapsed="false">
      <c r="A16" s="13" t="s">
        <v>858</v>
      </c>
      <c r="B16" s="13" t="s">
        <v>859</v>
      </c>
      <c r="C16" s="13" t="s">
        <v>860</v>
      </c>
      <c r="D16" s="13" t="s">
        <v>861</v>
      </c>
      <c r="E16" s="13" t="s">
        <v>862</v>
      </c>
    </row>
    <row r="17" customFormat="false" ht="23.25" hidden="false" customHeight="true" outlineLevel="0" collapsed="false">
      <c r="A17" s="14" t="s">
        <v>863</v>
      </c>
      <c r="B17" s="14" t="s">
        <v>864</v>
      </c>
      <c r="C17" s="14" t="s">
        <v>855</v>
      </c>
      <c r="D17" s="14" t="s">
        <v>865</v>
      </c>
      <c r="E17" s="14" t="s">
        <v>866</v>
      </c>
    </row>
    <row r="18" customFormat="false" ht="15" hidden="false" customHeight="true" outlineLevel="0" collapsed="false">
      <c r="A18" s="13" t="s">
        <v>867</v>
      </c>
      <c r="B18" s="13" t="s">
        <v>868</v>
      </c>
      <c r="C18" s="13" t="s">
        <v>869</v>
      </c>
      <c r="D18" s="13" t="s">
        <v>870</v>
      </c>
      <c r="E18" s="13" t="s">
        <v>871</v>
      </c>
    </row>
    <row r="19" customFormat="false" ht="15" hidden="false" customHeight="true" outlineLevel="0" collapsed="false">
      <c r="A19" s="14" t="s">
        <v>872</v>
      </c>
      <c r="B19" s="14" t="s">
        <v>873</v>
      </c>
      <c r="C19" s="14" t="s">
        <v>860</v>
      </c>
      <c r="D19" s="14" t="s">
        <v>874</v>
      </c>
      <c r="E19" s="14" t="s">
        <v>875</v>
      </c>
    </row>
    <row r="20" customFormat="false" ht="15" hidden="false" customHeight="true" outlineLevel="0" collapsed="false">
      <c r="A20" s="13" t="s">
        <v>876</v>
      </c>
      <c r="B20" s="13" t="s">
        <v>877</v>
      </c>
      <c r="C20" s="13" t="s">
        <v>878</v>
      </c>
      <c r="D20" s="13" t="s">
        <v>879</v>
      </c>
      <c r="E20" s="13" t="s">
        <v>880</v>
      </c>
    </row>
    <row r="21" customFormat="false" ht="15" hidden="false" customHeight="true" outlineLevel="0" collapsed="false">
      <c r="A21" s="14" t="s">
        <v>881</v>
      </c>
      <c r="B21" s="14" t="s">
        <v>882</v>
      </c>
      <c r="C21" s="14" t="s">
        <v>883</v>
      </c>
      <c r="D21" s="14" t="s">
        <v>884</v>
      </c>
      <c r="E21" s="14" t="s">
        <v>885</v>
      </c>
    </row>
    <row r="22" customFormat="false" ht="15" hidden="false" customHeight="true" outlineLevel="0" collapsed="false">
      <c r="A22" s="13" t="s">
        <v>886</v>
      </c>
      <c r="B22" s="13" t="s">
        <v>887</v>
      </c>
      <c r="C22" s="13" t="s">
        <v>888</v>
      </c>
      <c r="D22" s="13" t="s">
        <v>889</v>
      </c>
      <c r="E22" s="13" t="s">
        <v>890</v>
      </c>
    </row>
    <row r="25" customFormat="false" ht="15" hidden="false" customHeight="true" outlineLevel="0" collapsed="false">
      <c r="A25" s="20" t="s">
        <v>891</v>
      </c>
    </row>
    <row r="26" customFormat="false" ht="15" hidden="false" customHeight="true" outlineLevel="0" collapsed="false">
      <c r="A26" s="21" t="s">
        <v>892</v>
      </c>
      <c r="B26" s="21" t="s">
        <v>893</v>
      </c>
      <c r="C26" s="21" t="s">
        <v>894</v>
      </c>
      <c r="D26" s="21" t="s">
        <v>895</v>
      </c>
      <c r="E26" s="21" t="s">
        <v>215</v>
      </c>
    </row>
    <row r="27" customFormat="false" ht="23.25" hidden="false" customHeight="true" outlineLevel="0" collapsed="false">
      <c r="A27" s="13" t="s">
        <v>896</v>
      </c>
      <c r="B27" s="13" t="s">
        <v>897</v>
      </c>
      <c r="C27" s="13" t="s">
        <v>898</v>
      </c>
      <c r="D27" s="13" t="s">
        <v>899</v>
      </c>
      <c r="E27" s="13" t="s">
        <v>104</v>
      </c>
    </row>
    <row r="28" customFormat="false" ht="15" hidden="false" customHeight="true" outlineLevel="0" collapsed="false">
      <c r="A28" s="14" t="s">
        <v>900</v>
      </c>
      <c r="B28" s="14" t="s">
        <v>901</v>
      </c>
      <c r="C28" s="14" t="s">
        <v>902</v>
      </c>
      <c r="D28" s="14" t="s">
        <v>903</v>
      </c>
      <c r="E28" s="14" t="s">
        <v>104</v>
      </c>
    </row>
    <row r="29" customFormat="false" ht="15" hidden="false" customHeight="true" outlineLevel="0" collapsed="false">
      <c r="A29" s="13" t="s">
        <v>904</v>
      </c>
      <c r="B29" s="13" t="s">
        <v>905</v>
      </c>
      <c r="C29" s="13" t="s">
        <v>906</v>
      </c>
      <c r="D29" s="13" t="s">
        <v>907</v>
      </c>
      <c r="E29" s="13" t="s">
        <v>104</v>
      </c>
    </row>
    <row r="30" customFormat="false" ht="15" hidden="false" customHeight="true" outlineLevel="0" collapsed="false">
      <c r="A30" s="14" t="s">
        <v>83</v>
      </c>
      <c r="B30" s="14" t="s">
        <v>908</v>
      </c>
      <c r="C30" s="14" t="s">
        <v>909</v>
      </c>
      <c r="D30" s="14" t="s">
        <v>910</v>
      </c>
      <c r="E30" s="14" t="s">
        <v>104</v>
      </c>
    </row>
    <row r="31" customFormat="false" ht="23.25" hidden="false" customHeight="true" outlineLevel="0" collapsed="false">
      <c r="A31" s="13" t="s">
        <v>911</v>
      </c>
      <c r="B31" s="13" t="s">
        <v>912</v>
      </c>
      <c r="C31" s="13" t="s">
        <v>913</v>
      </c>
      <c r="D31" s="13" t="s">
        <v>914</v>
      </c>
      <c r="E31" s="13" t="s">
        <v>104</v>
      </c>
    </row>
    <row r="32" customFormat="false" ht="15" hidden="false" customHeight="true" outlineLevel="0" collapsed="false">
      <c r="A32" s="14" t="s">
        <v>915</v>
      </c>
      <c r="B32" s="14" t="s">
        <v>916</v>
      </c>
      <c r="C32" s="14" t="s">
        <v>917</v>
      </c>
      <c r="D32" s="14" t="s">
        <v>918</v>
      </c>
      <c r="E32" s="14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4"/>
    <col collapsed="false" customWidth="true" hidden="false" outlineLevel="0" max="3" min="3" style="1" width="28"/>
    <col collapsed="false" customWidth="true" hidden="false" outlineLevel="0" max="4" min="4" style="1" width="22"/>
    <col collapsed="false" customWidth="true" hidden="false" outlineLevel="0" max="6" min="5" style="1" width="18"/>
  </cols>
  <sheetData>
    <row r="1" customFormat="false" ht="52.5" hidden="false" customHeight="true" outlineLevel="0" collapsed="false">
      <c r="A1" s="22" t="s">
        <v>919</v>
      </c>
    </row>
    <row r="2" customFormat="false" ht="32.25" hidden="false" customHeight="true" outlineLevel="0" collapsed="false">
      <c r="A2" s="3" t="s">
        <v>920</v>
      </c>
    </row>
    <row r="3" customFormat="false" ht="30" hidden="false" customHeight="true" outlineLevel="0" collapsed="false">
      <c r="A3" s="4" t="s">
        <v>213</v>
      </c>
    </row>
    <row r="5" customFormat="false" ht="15" hidden="false" customHeight="true" outlineLevel="0" collapsed="false">
      <c r="A5" s="23" t="s">
        <v>214</v>
      </c>
    </row>
    <row r="6" customFormat="false" ht="15" hidden="false" customHeight="true" outlineLevel="0" collapsed="false">
      <c r="A6" s="24" t="s">
        <v>4</v>
      </c>
      <c r="B6" s="24" t="s">
        <v>5</v>
      </c>
      <c r="C6" s="24" t="s">
        <v>6</v>
      </c>
      <c r="D6" s="24" t="s">
        <v>215</v>
      </c>
    </row>
    <row r="7" customFormat="false" ht="15" hidden="false" customHeight="true" outlineLevel="0" collapsed="false">
      <c r="A7" s="13" t="s">
        <v>8</v>
      </c>
      <c r="B7" s="13" t="n">
        <f aca="false">'🧬 DNA Loop Engine'!B4</f>
        <v>0</v>
      </c>
      <c r="C7" s="13" t="s">
        <v>9</v>
      </c>
      <c r="D7" s="13"/>
    </row>
    <row r="8" customFormat="false" ht="15" hidden="false" customHeight="true" outlineLevel="0" collapsed="false">
      <c r="A8" s="14" t="s">
        <v>11</v>
      </c>
      <c r="B8" s="14" t="n">
        <f aca="false">'🧬 DNA Loop Engine'!B5</f>
        <v>0</v>
      </c>
      <c r="C8" s="14" t="s">
        <v>12</v>
      </c>
      <c r="D8" s="14"/>
    </row>
    <row r="9" customFormat="false" ht="15" hidden="false" customHeight="true" outlineLevel="0" collapsed="false">
      <c r="A9" s="13" t="s">
        <v>14</v>
      </c>
      <c r="B9" s="13" t="n">
        <f aca="false">'🧬 DNA Loop Engine'!B15</f>
        <v>0</v>
      </c>
      <c r="C9" s="13"/>
      <c r="D9" s="13"/>
    </row>
    <row r="12" customFormat="false" ht="15" hidden="false" customHeight="true" outlineLevel="0" collapsed="false">
      <c r="A12" s="23" t="s">
        <v>921</v>
      </c>
    </row>
    <row r="13" customFormat="false" ht="15" hidden="false" customHeight="true" outlineLevel="0" collapsed="false">
      <c r="A13" s="24" t="s">
        <v>41</v>
      </c>
      <c r="B13" s="24" t="s">
        <v>624</v>
      </c>
      <c r="C13" s="24" t="s">
        <v>812</v>
      </c>
      <c r="D13" s="24" t="s">
        <v>922</v>
      </c>
      <c r="E13" s="24" t="s">
        <v>923</v>
      </c>
    </row>
    <row r="14" customFormat="false" ht="34.5" hidden="false" customHeight="true" outlineLevel="0" collapsed="false">
      <c r="A14" s="13" t="n">
        <v>1</v>
      </c>
      <c r="B14" s="13" t="s">
        <v>924</v>
      </c>
      <c r="C14" s="13" t="s">
        <v>925</v>
      </c>
      <c r="D14" s="13" t="s">
        <v>926</v>
      </c>
      <c r="E14" s="13" t="s">
        <v>927</v>
      </c>
    </row>
    <row r="15" customFormat="false" ht="34.5" hidden="false" customHeight="true" outlineLevel="0" collapsed="false">
      <c r="A15" s="14" t="n">
        <v>2</v>
      </c>
      <c r="B15" s="14" t="s">
        <v>928</v>
      </c>
      <c r="C15" s="14" t="s">
        <v>929</v>
      </c>
      <c r="D15" s="14" t="s">
        <v>930</v>
      </c>
      <c r="E15" s="14" t="s">
        <v>931</v>
      </c>
    </row>
    <row r="16" customFormat="false" ht="23.25" hidden="false" customHeight="true" outlineLevel="0" collapsed="false">
      <c r="A16" s="13" t="n">
        <v>3</v>
      </c>
      <c r="B16" s="13" t="s">
        <v>932</v>
      </c>
      <c r="C16" s="13" t="s">
        <v>485</v>
      </c>
      <c r="D16" s="13" t="s">
        <v>933</v>
      </c>
      <c r="E16" s="13" t="s">
        <v>934</v>
      </c>
    </row>
    <row r="17" customFormat="false" ht="34.5" hidden="false" customHeight="true" outlineLevel="0" collapsed="false">
      <c r="A17" s="14" t="n">
        <v>4</v>
      </c>
      <c r="B17" s="14" t="s">
        <v>935</v>
      </c>
      <c r="C17" s="14" t="s">
        <v>936</v>
      </c>
      <c r="D17" s="14" t="s">
        <v>937</v>
      </c>
      <c r="E17" s="14" t="s">
        <v>938</v>
      </c>
    </row>
    <row r="20" customFormat="false" ht="27.75" hidden="false" customHeight="true" outlineLevel="0" collapsed="false">
      <c r="A20" s="23" t="s">
        <v>939</v>
      </c>
    </row>
    <row r="21" customFormat="false" ht="15" hidden="false" customHeight="true" outlineLevel="0" collapsed="false">
      <c r="A21" s="24" t="s">
        <v>940</v>
      </c>
      <c r="B21" s="24" t="s">
        <v>941</v>
      </c>
      <c r="C21" s="24" t="s">
        <v>410</v>
      </c>
      <c r="D21" s="24" t="s">
        <v>942</v>
      </c>
      <c r="E21" s="24" t="s">
        <v>215</v>
      </c>
    </row>
    <row r="22" customFormat="false" ht="15" hidden="false" customHeight="true" outlineLevel="0" collapsed="false">
      <c r="A22" s="13" t="n">
        <v>1</v>
      </c>
      <c r="B22" s="13" t="s">
        <v>943</v>
      </c>
      <c r="C22" s="13" t="s">
        <v>944</v>
      </c>
      <c r="D22" s="13" t="s">
        <v>945</v>
      </c>
      <c r="E22" s="13" t="s">
        <v>946</v>
      </c>
    </row>
    <row r="23" customFormat="false" ht="15" hidden="false" customHeight="true" outlineLevel="0" collapsed="false">
      <c r="A23" s="14" t="n">
        <v>2</v>
      </c>
      <c r="B23" s="14" t="s">
        <v>947</v>
      </c>
      <c r="C23" s="14" t="s">
        <v>948</v>
      </c>
      <c r="D23" s="14" t="s">
        <v>949</v>
      </c>
      <c r="E23" s="14" t="s">
        <v>946</v>
      </c>
    </row>
    <row r="24" customFormat="false" ht="15" hidden="false" customHeight="true" outlineLevel="0" collapsed="false">
      <c r="A24" s="13" t="n">
        <v>3</v>
      </c>
      <c r="B24" s="13" t="s">
        <v>950</v>
      </c>
      <c r="C24" s="13" t="s">
        <v>515</v>
      </c>
      <c r="D24" s="13" t="s">
        <v>951</v>
      </c>
      <c r="E24" s="13" t="s">
        <v>946</v>
      </c>
    </row>
    <row r="25" customFormat="false" ht="23.25" hidden="false" customHeight="true" outlineLevel="0" collapsed="false">
      <c r="A25" s="14" t="n">
        <v>4</v>
      </c>
      <c r="B25" s="14" t="s">
        <v>952</v>
      </c>
      <c r="C25" s="14" t="s">
        <v>953</v>
      </c>
      <c r="D25" s="14" t="s">
        <v>954</v>
      </c>
      <c r="E25" s="14" t="s">
        <v>946</v>
      </c>
    </row>
    <row r="26" customFormat="false" ht="15" hidden="false" customHeight="true" outlineLevel="0" collapsed="false">
      <c r="A26" s="13" t="n">
        <v>5</v>
      </c>
      <c r="B26" s="13" t="s">
        <v>955</v>
      </c>
      <c r="C26" s="13" t="s">
        <v>477</v>
      </c>
      <c r="D26" s="13" t="s">
        <v>956</v>
      </c>
      <c r="E26" s="13" t="s">
        <v>946</v>
      </c>
    </row>
    <row r="27" customFormat="false" ht="23.25" hidden="false" customHeight="true" outlineLevel="0" collapsed="false">
      <c r="A27" s="14" t="n">
        <v>6</v>
      </c>
      <c r="B27" s="14" t="s">
        <v>957</v>
      </c>
      <c r="C27" s="14" t="s">
        <v>544</v>
      </c>
      <c r="D27" s="14" t="s">
        <v>958</v>
      </c>
      <c r="E27" s="14" t="s">
        <v>594</v>
      </c>
    </row>
    <row r="28" customFormat="false" ht="15" hidden="false" customHeight="true" outlineLevel="0" collapsed="false">
      <c r="A28" s="13" t="n">
        <v>7</v>
      </c>
      <c r="B28" s="13" t="s">
        <v>959</v>
      </c>
      <c r="C28" s="13" t="s">
        <v>527</v>
      </c>
      <c r="D28" s="13" t="s">
        <v>951</v>
      </c>
      <c r="E28" s="13" t="s">
        <v>946</v>
      </c>
    </row>
    <row r="29" customFormat="false" ht="15" hidden="false" customHeight="true" outlineLevel="0" collapsed="false">
      <c r="A29" s="14" t="n">
        <v>8</v>
      </c>
      <c r="B29" s="14" t="s">
        <v>960</v>
      </c>
      <c r="C29" s="14" t="s">
        <v>961</v>
      </c>
      <c r="D29" s="14" t="s">
        <v>962</v>
      </c>
      <c r="E29" s="14" t="s">
        <v>594</v>
      </c>
    </row>
    <row r="32" customFormat="false" ht="27.75" hidden="false" customHeight="true" outlineLevel="0" collapsed="false">
      <c r="A32" s="23" t="s">
        <v>963</v>
      </c>
    </row>
    <row r="33" customFormat="false" ht="15" hidden="false" customHeight="true" outlineLevel="0" collapsed="false">
      <c r="A33" s="24" t="s">
        <v>940</v>
      </c>
      <c r="B33" s="24" t="s">
        <v>941</v>
      </c>
      <c r="C33" s="24" t="s">
        <v>439</v>
      </c>
      <c r="D33" s="24" t="s">
        <v>942</v>
      </c>
    </row>
    <row r="34" customFormat="false" ht="15" hidden="false" customHeight="true" outlineLevel="0" collapsed="false">
      <c r="A34" s="13" t="n">
        <v>1</v>
      </c>
      <c r="B34" s="13" t="s">
        <v>964</v>
      </c>
      <c r="C34" s="13" t="s">
        <v>965</v>
      </c>
      <c r="D34" s="13" t="s">
        <v>966</v>
      </c>
    </row>
    <row r="35" customFormat="false" ht="15" hidden="false" customHeight="true" outlineLevel="0" collapsed="false">
      <c r="A35" s="14" t="n">
        <v>2</v>
      </c>
      <c r="B35" s="14" t="s">
        <v>967</v>
      </c>
      <c r="C35" s="14" t="s">
        <v>968</v>
      </c>
      <c r="D35" s="14" t="s">
        <v>969</v>
      </c>
    </row>
    <row r="36" customFormat="false" ht="15" hidden="false" customHeight="true" outlineLevel="0" collapsed="false">
      <c r="A36" s="13" t="n">
        <v>3</v>
      </c>
      <c r="B36" s="13" t="s">
        <v>970</v>
      </c>
      <c r="C36" s="13" t="s">
        <v>971</v>
      </c>
      <c r="D36" s="13" t="s">
        <v>972</v>
      </c>
    </row>
    <row r="37" customFormat="false" ht="15" hidden="false" customHeight="true" outlineLevel="0" collapsed="false">
      <c r="A37" s="14" t="n">
        <v>4</v>
      </c>
      <c r="B37" s="14" t="s">
        <v>973</v>
      </c>
      <c r="C37" s="14" t="s">
        <v>974</v>
      </c>
      <c r="D37" s="14" t="s">
        <v>975</v>
      </c>
    </row>
    <row r="38" customFormat="false" ht="15" hidden="false" customHeight="true" outlineLevel="0" collapsed="false">
      <c r="A38" s="13" t="n">
        <v>5</v>
      </c>
      <c r="B38" s="13" t="s">
        <v>976</v>
      </c>
      <c r="C38" s="13" t="s">
        <v>977</v>
      </c>
      <c r="D38" s="13" t="s">
        <v>966</v>
      </c>
    </row>
    <row r="39" customFormat="false" ht="15" hidden="false" customHeight="true" outlineLevel="0" collapsed="false">
      <c r="A39" s="14" t="n">
        <v>6</v>
      </c>
      <c r="B39" s="14" t="s">
        <v>978</v>
      </c>
      <c r="C39" s="14" t="s">
        <v>979</v>
      </c>
      <c r="D39" s="14" t="s">
        <v>956</v>
      </c>
    </row>
    <row r="40" customFormat="false" ht="15" hidden="false" customHeight="true" outlineLevel="0" collapsed="false">
      <c r="A40" s="13" t="n">
        <v>7</v>
      </c>
      <c r="B40" s="13" t="s">
        <v>980</v>
      </c>
      <c r="C40" s="13" t="s">
        <v>981</v>
      </c>
      <c r="D40" s="13" t="s">
        <v>982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2"/>
    <col collapsed="false" customWidth="true" hidden="false" outlineLevel="0" max="3" min="3" style="1" width="12"/>
    <col collapsed="false" customWidth="true" hidden="false" outlineLevel="0" max="5" min="4" style="1" width="10"/>
    <col collapsed="false" customWidth="true" hidden="false" outlineLevel="0" max="6" min="6" style="1" width="22"/>
  </cols>
  <sheetData>
    <row r="1" customFormat="false" ht="104.25" hidden="false" customHeight="true" outlineLevel="0" collapsed="false">
      <c r="A1" s="2" t="s">
        <v>983</v>
      </c>
    </row>
    <row r="2" customFormat="false" ht="42.75" hidden="false" customHeight="true" outlineLevel="0" collapsed="false">
      <c r="A2" s="3" t="s">
        <v>984</v>
      </c>
    </row>
    <row r="3" customFormat="false" ht="49.5" hidden="false" customHeight="true" outlineLevel="0" collapsed="false">
      <c r="A3" s="4" t="s">
        <v>213</v>
      </c>
    </row>
    <row r="5" customFormat="false" ht="54.75" hidden="false" customHeight="true" outlineLevel="0" collapsed="false">
      <c r="A5" s="5" t="s">
        <v>985</v>
      </c>
    </row>
    <row r="6" customFormat="false" ht="15" hidden="false" customHeight="true" outlineLevel="0" collapsed="false">
      <c r="A6" s="6" t="s">
        <v>986</v>
      </c>
      <c r="B6" s="6" t="s">
        <v>624</v>
      </c>
      <c r="C6" s="6" t="s">
        <v>5</v>
      </c>
      <c r="D6" s="6" t="s">
        <v>987</v>
      </c>
      <c r="E6" s="6" t="s">
        <v>988</v>
      </c>
      <c r="F6" s="6" t="s">
        <v>989</v>
      </c>
    </row>
    <row r="7" customFormat="false" ht="15" hidden="false" customHeight="true" outlineLevel="0" collapsed="false">
      <c r="A7" s="13" t="s">
        <v>990</v>
      </c>
      <c r="B7" s="13" t="s">
        <v>991</v>
      </c>
      <c r="C7" s="13" t="n">
        <v>0.05</v>
      </c>
      <c r="D7" s="13" t="n">
        <v>0.01</v>
      </c>
      <c r="E7" s="13" t="n">
        <v>0.1</v>
      </c>
      <c r="F7" s="13" t="s">
        <v>992</v>
      </c>
    </row>
    <row r="8" customFormat="false" ht="15" hidden="false" customHeight="true" outlineLevel="0" collapsed="false">
      <c r="A8" s="14" t="s">
        <v>993</v>
      </c>
      <c r="B8" s="14" t="s">
        <v>994</v>
      </c>
      <c r="C8" s="14" t="n">
        <v>0.05</v>
      </c>
      <c r="D8" s="14" t="n">
        <v>0.01</v>
      </c>
      <c r="E8" s="14" t="n">
        <v>0.1</v>
      </c>
      <c r="F8" s="14" t="s">
        <v>992</v>
      </c>
    </row>
    <row r="9" customFormat="false" ht="15" hidden="false" customHeight="true" outlineLevel="0" collapsed="false">
      <c r="A9" s="13" t="s">
        <v>995</v>
      </c>
      <c r="B9" s="13" t="s">
        <v>996</v>
      </c>
      <c r="C9" s="13" t="n">
        <v>0.05</v>
      </c>
      <c r="D9" s="13" t="n">
        <v>0.01</v>
      </c>
      <c r="E9" s="13" t="n">
        <v>0.1</v>
      </c>
      <c r="F9" s="13" t="s">
        <v>992</v>
      </c>
    </row>
    <row r="10" customFormat="false" ht="15" hidden="false" customHeight="true" outlineLevel="0" collapsed="false">
      <c r="A10" s="14" t="s">
        <v>997</v>
      </c>
      <c r="B10" s="14" t="s">
        <v>998</v>
      </c>
      <c r="C10" s="14" t="n">
        <v>0.5</v>
      </c>
      <c r="D10" s="14" t="n">
        <v>0.1</v>
      </c>
      <c r="E10" s="14" t="n">
        <v>1</v>
      </c>
      <c r="F10" s="14" t="s">
        <v>999</v>
      </c>
    </row>
    <row r="11" customFormat="false" ht="15" hidden="false" customHeight="true" outlineLevel="0" collapsed="false">
      <c r="A11" s="13" t="s">
        <v>1000</v>
      </c>
      <c r="B11" s="13" t="s">
        <v>1001</v>
      </c>
      <c r="C11" s="13" t="n">
        <v>0.5</v>
      </c>
      <c r="D11" s="13" t="n">
        <v>0.1</v>
      </c>
      <c r="E11" s="13" t="n">
        <v>1</v>
      </c>
      <c r="F11" s="13" t="s">
        <v>999</v>
      </c>
    </row>
    <row r="12" customFormat="false" ht="15" hidden="false" customHeight="true" outlineLevel="0" collapsed="false">
      <c r="A12" s="14" t="s">
        <v>1002</v>
      </c>
      <c r="B12" s="14" t="s">
        <v>1003</v>
      </c>
      <c r="C12" s="14" t="n">
        <v>0.5</v>
      </c>
      <c r="D12" s="14" t="n">
        <v>0.1</v>
      </c>
      <c r="E12" s="14" t="n">
        <v>1</v>
      </c>
      <c r="F12" s="14" t="s">
        <v>999</v>
      </c>
    </row>
    <row r="13" customFormat="false" ht="15" hidden="false" customHeight="true" outlineLevel="0" collapsed="false">
      <c r="A13" s="13" t="s">
        <v>1004</v>
      </c>
      <c r="B13" s="13" t="s">
        <v>1005</v>
      </c>
      <c r="C13" s="13" t="n">
        <v>0.5</v>
      </c>
      <c r="D13" s="13" t="n">
        <v>0.1</v>
      </c>
      <c r="E13" s="13" t="n">
        <v>1</v>
      </c>
      <c r="F13" s="13" t="s">
        <v>999</v>
      </c>
    </row>
    <row r="14" customFormat="false" ht="15" hidden="false" customHeight="true" outlineLevel="0" collapsed="false">
      <c r="A14" s="14" t="s">
        <v>1006</v>
      </c>
      <c r="B14" s="14" t="s">
        <v>1007</v>
      </c>
      <c r="C14" s="14" t="n">
        <v>0.025</v>
      </c>
      <c r="D14" s="14" t="n">
        <v>0.001</v>
      </c>
      <c r="E14" s="14" t="n">
        <v>0.05</v>
      </c>
      <c r="F14" s="14" t="s">
        <v>1008</v>
      </c>
    </row>
    <row r="15" customFormat="false" ht="15" hidden="false" customHeight="true" outlineLevel="0" collapsed="false">
      <c r="A15" s="13" t="s">
        <v>1009</v>
      </c>
      <c r="B15" s="13" t="s">
        <v>1010</v>
      </c>
      <c r="C15" s="13" t="n">
        <v>0.025</v>
      </c>
      <c r="D15" s="13" t="n">
        <v>0.001</v>
      </c>
      <c r="E15" s="13" t="n">
        <v>0.05</v>
      </c>
      <c r="F15" s="13" t="s">
        <v>1008</v>
      </c>
    </row>
    <row r="16" customFormat="false" ht="15" hidden="false" customHeight="true" outlineLevel="0" collapsed="false">
      <c r="A16" s="14" t="s">
        <v>1011</v>
      </c>
      <c r="B16" s="14" t="s">
        <v>1012</v>
      </c>
      <c r="C16" s="14" t="n">
        <v>0.025</v>
      </c>
      <c r="D16" s="14" t="n">
        <v>0.001</v>
      </c>
      <c r="E16" s="14" t="n">
        <v>0.05</v>
      </c>
      <c r="F16" s="14" t="s">
        <v>1008</v>
      </c>
    </row>
    <row r="17" customFormat="false" ht="15" hidden="false" customHeight="true" outlineLevel="0" collapsed="false">
      <c r="A17" s="13" t="s">
        <v>1013</v>
      </c>
      <c r="B17" s="13" t="s">
        <v>1014</v>
      </c>
      <c r="C17" s="13" t="n">
        <v>0.025</v>
      </c>
      <c r="D17" s="13" t="n">
        <v>0.001</v>
      </c>
      <c r="E17" s="13" t="n">
        <v>0.05</v>
      </c>
      <c r="F17" s="13" t="s">
        <v>1008</v>
      </c>
    </row>
    <row r="18" customFormat="false" ht="15" hidden="false" customHeight="true" outlineLevel="0" collapsed="false">
      <c r="A18" s="14" t="s">
        <v>1015</v>
      </c>
      <c r="B18" s="14" t="s">
        <v>1016</v>
      </c>
      <c r="C18" s="14" t="n">
        <v>0.3</v>
      </c>
      <c r="D18" s="14" t="n">
        <v>0.1</v>
      </c>
      <c r="E18" s="14" t="n">
        <v>0.5</v>
      </c>
      <c r="F18" s="14" t="s">
        <v>1017</v>
      </c>
    </row>
    <row r="19" customFormat="false" ht="15" hidden="false" customHeight="true" outlineLevel="0" collapsed="false">
      <c r="A19" s="13" t="s">
        <v>1018</v>
      </c>
      <c r="B19" s="13" t="s">
        <v>1019</v>
      </c>
      <c r="C19" s="13" t="n">
        <v>0.3</v>
      </c>
      <c r="D19" s="13" t="n">
        <v>0.1</v>
      </c>
      <c r="E19" s="13" t="n">
        <v>0.5</v>
      </c>
      <c r="F19" s="13" t="s">
        <v>1017</v>
      </c>
    </row>
    <row r="20" customFormat="false" ht="15" hidden="false" customHeight="true" outlineLevel="0" collapsed="false">
      <c r="A20" s="14" t="s">
        <v>1020</v>
      </c>
      <c r="B20" s="14" t="s">
        <v>1021</v>
      </c>
      <c r="C20" s="14" t="n">
        <v>0.3</v>
      </c>
      <c r="D20" s="14" t="n">
        <v>0.1</v>
      </c>
      <c r="E20" s="14" t="n">
        <v>0.5</v>
      </c>
      <c r="F20" s="14" t="s">
        <v>1017</v>
      </c>
    </row>
    <row r="21" customFormat="false" ht="15" hidden="false" customHeight="true" outlineLevel="0" collapsed="false">
      <c r="A21" s="13" t="s">
        <v>1022</v>
      </c>
      <c r="B21" s="13" t="s">
        <v>1023</v>
      </c>
      <c r="C21" s="13" t="n">
        <v>0.1</v>
      </c>
      <c r="D21" s="13" t="n">
        <v>0.05</v>
      </c>
      <c r="E21" s="13" t="n">
        <v>0.2</v>
      </c>
      <c r="F21" s="13" t="s">
        <v>1024</v>
      </c>
    </row>
    <row r="22" customFormat="false" ht="15" hidden="false" customHeight="true" outlineLevel="0" collapsed="false">
      <c r="A22" s="14" t="s">
        <v>1025</v>
      </c>
      <c r="B22" s="14" t="s">
        <v>1026</v>
      </c>
      <c r="C22" s="14" t="n">
        <v>0.1</v>
      </c>
      <c r="D22" s="14" t="n">
        <v>0.05</v>
      </c>
      <c r="E22" s="14" t="n">
        <v>0.2</v>
      </c>
      <c r="F22" s="14" t="s">
        <v>1024</v>
      </c>
    </row>
    <row r="23" customFormat="false" ht="15" hidden="false" customHeight="true" outlineLevel="0" collapsed="false">
      <c r="A23" s="13" t="s">
        <v>1027</v>
      </c>
      <c r="B23" s="13" t="s">
        <v>1028</v>
      </c>
      <c r="C23" s="13" t="n">
        <v>0.1</v>
      </c>
      <c r="D23" s="13" t="n">
        <v>0.05</v>
      </c>
      <c r="E23" s="13" t="n">
        <v>0.2</v>
      </c>
      <c r="F23" s="13" t="s">
        <v>1024</v>
      </c>
    </row>
    <row r="24" customFormat="false" ht="15" hidden="false" customHeight="true" outlineLevel="0" collapsed="false">
      <c r="A24" s="14" t="s">
        <v>1029</v>
      </c>
      <c r="B24" s="14" t="s">
        <v>1030</v>
      </c>
      <c r="C24" s="14" t="n">
        <v>0.3</v>
      </c>
      <c r="D24" s="14" t="n">
        <v>0.1</v>
      </c>
      <c r="E24" s="14" t="n">
        <v>0.5</v>
      </c>
      <c r="F24" s="14" t="s">
        <v>945</v>
      </c>
    </row>
    <row r="25" customFormat="false" ht="15" hidden="false" customHeight="true" outlineLevel="0" collapsed="false">
      <c r="A25" s="13" t="s">
        <v>1031</v>
      </c>
      <c r="B25" s="13" t="s">
        <v>1032</v>
      </c>
      <c r="C25" s="13" t="n">
        <v>0.3</v>
      </c>
      <c r="D25" s="13" t="n">
        <v>0.1</v>
      </c>
      <c r="E25" s="13" t="n">
        <v>0.5</v>
      </c>
      <c r="F25" s="13" t="s">
        <v>945</v>
      </c>
    </row>
    <row r="26" customFormat="false" ht="15" hidden="false" customHeight="true" outlineLevel="0" collapsed="false">
      <c r="A26" s="14" t="s">
        <v>1033</v>
      </c>
      <c r="B26" s="14" t="s">
        <v>1034</v>
      </c>
      <c r="C26" s="14" t="n">
        <v>0.1</v>
      </c>
      <c r="D26" s="14" t="n">
        <v>0.05</v>
      </c>
      <c r="E26" s="14" t="n">
        <v>0.2</v>
      </c>
      <c r="F26" s="14" t="s">
        <v>954</v>
      </c>
    </row>
    <row r="27" customFormat="false" ht="15" hidden="false" customHeight="true" outlineLevel="0" collapsed="false">
      <c r="A27" s="13" t="s">
        <v>1035</v>
      </c>
      <c r="B27" s="13" t="s">
        <v>1036</v>
      </c>
      <c r="C27" s="13" t="n">
        <v>0.1</v>
      </c>
      <c r="D27" s="13" t="n">
        <v>0.05</v>
      </c>
      <c r="E27" s="13" t="n">
        <v>0.2</v>
      </c>
      <c r="F27" s="13" t="s">
        <v>954</v>
      </c>
    </row>
    <row r="28" customFormat="false" ht="15" hidden="false" customHeight="true" outlineLevel="0" collapsed="false">
      <c r="A28" s="14" t="s">
        <v>1037</v>
      </c>
      <c r="B28" s="14" t="s">
        <v>1038</v>
      </c>
      <c r="C28" s="14" t="n">
        <v>0.05</v>
      </c>
      <c r="D28" s="14" t="n">
        <v>0.01</v>
      </c>
      <c r="E28" s="14" t="n">
        <v>0.1</v>
      </c>
      <c r="F28" s="14" t="s">
        <v>951</v>
      </c>
    </row>
    <row r="29" customFormat="false" ht="15" hidden="false" customHeight="true" outlineLevel="0" collapsed="false">
      <c r="A29" s="13" t="s">
        <v>1039</v>
      </c>
      <c r="B29" s="13" t="s">
        <v>1040</v>
      </c>
      <c r="C29" s="13" t="n">
        <v>0.05</v>
      </c>
      <c r="D29" s="13" t="n">
        <v>0.01</v>
      </c>
      <c r="E29" s="13" t="n">
        <v>0.1</v>
      </c>
      <c r="F29" s="13" t="s">
        <v>951</v>
      </c>
    </row>
    <row r="30" customFormat="false" ht="15" hidden="false" customHeight="true" outlineLevel="0" collapsed="false">
      <c r="A30" s="14" t="s">
        <v>1041</v>
      </c>
      <c r="B30" s="14" t="s">
        <v>1042</v>
      </c>
      <c r="C30" s="14" t="n">
        <v>0.1</v>
      </c>
      <c r="D30" s="14" t="n">
        <v>0.05</v>
      </c>
      <c r="E30" s="14" t="n">
        <v>0.2</v>
      </c>
      <c r="F30" s="14" t="s">
        <v>949</v>
      </c>
    </row>
    <row r="31" customFormat="false" ht="15" hidden="false" customHeight="true" outlineLevel="0" collapsed="false">
      <c r="A31" s="13" t="s">
        <v>1043</v>
      </c>
      <c r="B31" s="13" t="s">
        <v>1044</v>
      </c>
      <c r="C31" s="13" t="n">
        <v>0.1</v>
      </c>
      <c r="D31" s="13" t="n">
        <v>0.05</v>
      </c>
      <c r="E31" s="13" t="n">
        <v>0.2</v>
      </c>
      <c r="F31" s="13" t="s">
        <v>949</v>
      </c>
    </row>
    <row r="32" customFormat="false" ht="15" hidden="false" customHeight="true" outlineLevel="0" collapsed="false">
      <c r="A32" s="14" t="s">
        <v>1045</v>
      </c>
      <c r="B32" s="14" t="s">
        <v>1046</v>
      </c>
      <c r="C32" s="14" t="n">
        <v>0.05</v>
      </c>
      <c r="D32" s="14" t="n">
        <v>0.01</v>
      </c>
      <c r="E32" s="14" t="n">
        <v>0.1</v>
      </c>
      <c r="F32" s="14" t="s">
        <v>1047</v>
      </c>
    </row>
    <row r="33" customFormat="false" ht="15" hidden="false" customHeight="true" outlineLevel="0" collapsed="false">
      <c r="A33" s="13" t="s">
        <v>1048</v>
      </c>
      <c r="B33" s="13" t="s">
        <v>1049</v>
      </c>
      <c r="C33" s="13" t="n">
        <v>0.05</v>
      </c>
      <c r="D33" s="13" t="n">
        <v>0.01</v>
      </c>
      <c r="E33" s="13" t="n">
        <v>0.1</v>
      </c>
      <c r="F33" s="13" t="s">
        <v>1047</v>
      </c>
    </row>
    <row r="34" customFormat="false" ht="15" hidden="false" customHeight="true" outlineLevel="0" collapsed="false">
      <c r="A34" s="14" t="s">
        <v>1050</v>
      </c>
      <c r="B34" s="14" t="s">
        <v>1051</v>
      </c>
      <c r="C34" s="14" t="n">
        <v>0.05</v>
      </c>
      <c r="D34" s="14" t="n">
        <v>0.01</v>
      </c>
      <c r="E34" s="14" t="n">
        <v>0.1</v>
      </c>
      <c r="F34" s="14" t="s">
        <v>1047</v>
      </c>
    </row>
    <row r="35" customFormat="false" ht="15" hidden="false" customHeight="true" outlineLevel="0" collapsed="false">
      <c r="A35" s="13" t="s">
        <v>1052</v>
      </c>
      <c r="B35" s="13" t="s">
        <v>1053</v>
      </c>
      <c r="C35" s="13" t="n">
        <v>0.05</v>
      </c>
      <c r="D35" s="13" t="n">
        <v>0.01</v>
      </c>
      <c r="E35" s="13" t="n">
        <v>0.1</v>
      </c>
      <c r="F35" s="13" t="s">
        <v>1047</v>
      </c>
    </row>
    <row r="36" customFormat="false" ht="15" hidden="false" customHeight="true" outlineLevel="0" collapsed="false">
      <c r="A36" s="14" t="s">
        <v>1054</v>
      </c>
      <c r="B36" s="14" t="s">
        <v>1055</v>
      </c>
      <c r="C36" s="14" t="n">
        <v>0.03</v>
      </c>
      <c r="D36" s="14" t="n">
        <v>0.01</v>
      </c>
      <c r="E36" s="14" t="n">
        <v>0.05</v>
      </c>
      <c r="F36" s="14" t="s">
        <v>958</v>
      </c>
    </row>
    <row r="37" customFormat="false" ht="15" hidden="false" customHeight="true" outlineLevel="0" collapsed="false">
      <c r="A37" s="13" t="s">
        <v>1056</v>
      </c>
      <c r="B37" s="13" t="s">
        <v>1057</v>
      </c>
      <c r="C37" s="13" t="n">
        <v>0.03</v>
      </c>
      <c r="D37" s="13" t="n">
        <v>0.01</v>
      </c>
      <c r="E37" s="13" t="n">
        <v>0.05</v>
      </c>
      <c r="F37" s="13" t="s">
        <v>958</v>
      </c>
    </row>
    <row r="38" customFormat="false" ht="15" hidden="false" customHeight="true" outlineLevel="0" collapsed="false">
      <c r="A38" s="14" t="s">
        <v>1058</v>
      </c>
      <c r="B38" s="14" t="s">
        <v>1059</v>
      </c>
      <c r="C38" s="14" t="n">
        <v>0.95</v>
      </c>
      <c r="D38" s="14" t="n">
        <v>0.9</v>
      </c>
      <c r="E38" s="14" t="n">
        <v>0.99</v>
      </c>
      <c r="F38" s="14" t="s">
        <v>1060</v>
      </c>
    </row>
    <row r="39" customFormat="false" ht="15" hidden="false" customHeight="true" outlineLevel="0" collapsed="false">
      <c r="A39" s="13" t="s">
        <v>1061</v>
      </c>
      <c r="B39" s="13" t="s">
        <v>1062</v>
      </c>
      <c r="C39" s="13" t="n">
        <v>0.5</v>
      </c>
      <c r="D39" s="13" t="n">
        <v>0.3</v>
      </c>
      <c r="E39" s="13" t="n">
        <v>0.7</v>
      </c>
      <c r="F39" s="13" t="s">
        <v>956</v>
      </c>
    </row>
    <row r="40" customFormat="false" ht="15" hidden="false" customHeight="true" outlineLevel="0" collapsed="false">
      <c r="A40" s="14" t="s">
        <v>1063</v>
      </c>
      <c r="B40" s="14" t="s">
        <v>1064</v>
      </c>
      <c r="C40" s="14" t="n">
        <v>0.001</v>
      </c>
      <c r="D40" s="14" t="n">
        <v>0.0001</v>
      </c>
      <c r="E40" s="14" t="n">
        <v>0.01</v>
      </c>
      <c r="F40" s="14" t="s">
        <v>1065</v>
      </c>
    </row>
    <row r="41" customFormat="false" ht="15" hidden="false" customHeight="true" outlineLevel="0" collapsed="false">
      <c r="A41" s="13" t="s">
        <v>1066</v>
      </c>
      <c r="B41" s="13" t="s">
        <v>1067</v>
      </c>
      <c r="C41" s="13" t="n">
        <v>0.1</v>
      </c>
      <c r="D41" s="13" t="n">
        <v>0.05</v>
      </c>
      <c r="E41" s="13" t="n">
        <v>0.2</v>
      </c>
      <c r="F41" s="13" t="s">
        <v>1065</v>
      </c>
    </row>
    <row r="42" customFormat="false" ht="15" hidden="false" customHeight="true" outlineLevel="0" collapsed="false">
      <c r="A42" s="14" t="s">
        <v>1068</v>
      </c>
      <c r="B42" s="14" t="s">
        <v>1069</v>
      </c>
      <c r="C42" s="14" t="n">
        <v>0.3</v>
      </c>
      <c r="D42" s="14" t="n">
        <v>0.1</v>
      </c>
      <c r="E42" s="14" t="n">
        <v>0.5</v>
      </c>
      <c r="F42" s="14" t="s">
        <v>1070</v>
      </c>
    </row>
    <row r="43" customFormat="false" ht="15" hidden="false" customHeight="true" outlineLevel="0" collapsed="false">
      <c r="A43" s="13" t="s">
        <v>1071</v>
      </c>
      <c r="B43" s="13" t="s">
        <v>1072</v>
      </c>
      <c r="C43" s="13" t="n">
        <v>0.02</v>
      </c>
      <c r="D43" s="13" t="n">
        <v>0.005</v>
      </c>
      <c r="E43" s="13" t="n">
        <v>0.1</v>
      </c>
      <c r="F43" s="13" t="s">
        <v>1073</v>
      </c>
    </row>
    <row r="44" customFormat="false" ht="15" hidden="false" customHeight="true" outlineLevel="0" collapsed="false">
      <c r="A44" s="14" t="s">
        <v>1074</v>
      </c>
      <c r="B44" s="14" t="s">
        <v>1075</v>
      </c>
      <c r="C44" s="14" t="n">
        <v>0.001</v>
      </c>
      <c r="D44" s="14" t="n">
        <v>0.0001</v>
      </c>
      <c r="E44" s="14" t="n">
        <v>0.01</v>
      </c>
      <c r="F44" s="14" t="s">
        <v>1076</v>
      </c>
    </row>
    <row r="45" customFormat="false" ht="15" hidden="false" customHeight="true" outlineLevel="0" collapsed="false">
      <c r="A45" s="13" t="s">
        <v>1077</v>
      </c>
      <c r="B45" s="13" t="s">
        <v>1078</v>
      </c>
      <c r="C45" s="13" t="n">
        <v>0.01</v>
      </c>
      <c r="D45" s="13" t="n">
        <v>0.001</v>
      </c>
      <c r="E45" s="13" t="n">
        <v>0.05</v>
      </c>
      <c r="F45" s="13" t="s">
        <v>1076</v>
      </c>
    </row>
    <row r="46" customFormat="false" ht="15" hidden="false" customHeight="true" outlineLevel="0" collapsed="false">
      <c r="A46" s="14" t="s">
        <v>1079</v>
      </c>
      <c r="B46" s="14" t="s">
        <v>1080</v>
      </c>
      <c r="C46" s="14" t="n">
        <v>0.4</v>
      </c>
      <c r="D46" s="14" t="n">
        <v>0.1</v>
      </c>
      <c r="E46" s="14" t="n">
        <v>0.7</v>
      </c>
      <c r="F46" s="14" t="s">
        <v>813</v>
      </c>
    </row>
    <row r="47" customFormat="false" ht="15" hidden="false" customHeight="true" outlineLevel="0" collapsed="false">
      <c r="A47" s="13" t="s">
        <v>1081</v>
      </c>
      <c r="B47" s="13" t="s">
        <v>1082</v>
      </c>
      <c r="C47" s="13" t="n">
        <v>0.4</v>
      </c>
      <c r="D47" s="13" t="n">
        <v>0.1</v>
      </c>
      <c r="E47" s="13" t="n">
        <v>0.7</v>
      </c>
      <c r="F47" s="13" t="s">
        <v>813</v>
      </c>
    </row>
    <row r="48" customFormat="false" ht="15" hidden="false" customHeight="true" outlineLevel="0" collapsed="false">
      <c r="A48" s="14" t="s">
        <v>1083</v>
      </c>
      <c r="B48" s="14" t="s">
        <v>1084</v>
      </c>
      <c r="C48" s="14" t="n">
        <v>0.2</v>
      </c>
      <c r="D48" s="14" t="n">
        <v>0.05</v>
      </c>
      <c r="E48" s="14" t="n">
        <v>0.4</v>
      </c>
      <c r="F48" s="14" t="s">
        <v>813</v>
      </c>
    </row>
    <row r="49" customFormat="false" ht="15" hidden="false" customHeight="true" outlineLevel="0" collapsed="false">
      <c r="A49" s="13" t="s">
        <v>1085</v>
      </c>
      <c r="B49" s="13" t="s">
        <v>1086</v>
      </c>
      <c r="C49" s="13" t="n">
        <v>0.01</v>
      </c>
      <c r="D49" s="13" t="n">
        <v>0.001</v>
      </c>
      <c r="E49" s="13" t="n">
        <v>0.05</v>
      </c>
      <c r="F49" s="13" t="s">
        <v>59</v>
      </c>
    </row>
    <row r="50" customFormat="false" ht="15" hidden="false" customHeight="true" outlineLevel="0" collapsed="false">
      <c r="A50" s="14" t="s">
        <v>1087</v>
      </c>
      <c r="B50" s="14" t="s">
        <v>1088</v>
      </c>
      <c r="C50" s="14" t="n">
        <v>0.4</v>
      </c>
      <c r="D50" s="14" t="n">
        <v>0.1</v>
      </c>
      <c r="E50" s="14" t="n">
        <v>0.6</v>
      </c>
      <c r="F50" s="14" t="s">
        <v>59</v>
      </c>
    </row>
    <row r="51" customFormat="false" ht="15" hidden="false" customHeight="true" outlineLevel="0" collapsed="false">
      <c r="A51" s="13" t="s">
        <v>1089</v>
      </c>
      <c r="B51" s="13" t="s">
        <v>1090</v>
      </c>
      <c r="C51" s="13" t="n">
        <v>0.3</v>
      </c>
      <c r="D51" s="13" t="n">
        <v>0.1</v>
      </c>
      <c r="E51" s="13" t="n">
        <v>0.5</v>
      </c>
      <c r="F51" s="13" t="s">
        <v>59</v>
      </c>
    </row>
    <row r="52" customFormat="false" ht="15" hidden="false" customHeight="true" outlineLevel="0" collapsed="false">
      <c r="A52" s="14" t="s">
        <v>1091</v>
      </c>
      <c r="B52" s="14" t="s">
        <v>1092</v>
      </c>
      <c r="C52" s="14" t="n">
        <v>0.2</v>
      </c>
      <c r="D52" s="14" t="n">
        <v>0.05</v>
      </c>
      <c r="E52" s="14" t="n">
        <v>0.4</v>
      </c>
      <c r="F52" s="14" t="s">
        <v>59</v>
      </c>
    </row>
    <row r="53" customFormat="false" ht="15" hidden="false" customHeight="true" outlineLevel="0" collapsed="false">
      <c r="A53" s="13" t="s">
        <v>1093</v>
      </c>
      <c r="B53" s="13" t="s">
        <v>1094</v>
      </c>
      <c r="C53" s="13" t="n">
        <v>0.1</v>
      </c>
      <c r="D53" s="13" t="n">
        <v>0.01</v>
      </c>
      <c r="E53" s="13" t="n">
        <v>0.3</v>
      </c>
      <c r="F53" s="13" t="s">
        <v>59</v>
      </c>
    </row>
    <row r="54" customFormat="false" ht="15" hidden="false" customHeight="true" outlineLevel="0" collapsed="false">
      <c r="A54" s="14" t="s">
        <v>1095</v>
      </c>
      <c r="B54" s="14" t="s">
        <v>1096</v>
      </c>
      <c r="C54" s="14" t="n">
        <v>0.02</v>
      </c>
      <c r="D54" s="14" t="n">
        <v>0.005</v>
      </c>
      <c r="E54" s="14" t="n">
        <v>0.1</v>
      </c>
      <c r="F54" s="14" t="s">
        <v>821</v>
      </c>
    </row>
    <row r="55" customFormat="false" ht="15" hidden="false" customHeight="true" outlineLevel="0" collapsed="false">
      <c r="A55" s="13" t="s">
        <v>1097</v>
      </c>
      <c r="B55" s="13" t="s">
        <v>1098</v>
      </c>
      <c r="C55" s="13" t="n">
        <v>0.005</v>
      </c>
      <c r="D55" s="13" t="n">
        <v>0.001</v>
      </c>
      <c r="E55" s="13" t="n">
        <v>0.02</v>
      </c>
      <c r="F55" s="13" t="s">
        <v>826</v>
      </c>
    </row>
    <row r="56" customFormat="false" ht="15" hidden="false" customHeight="true" outlineLevel="0" collapsed="false">
      <c r="A56" s="14" t="s">
        <v>1099</v>
      </c>
      <c r="B56" s="14" t="s">
        <v>1100</v>
      </c>
      <c r="C56" s="14" t="n">
        <v>0.001</v>
      </c>
      <c r="D56" s="14" t="n">
        <v>0.0001</v>
      </c>
      <c r="E56" s="14" t="n">
        <v>0.01</v>
      </c>
      <c r="F56" s="14" t="s">
        <v>826</v>
      </c>
    </row>
    <row r="57" customFormat="false" ht="15" hidden="false" customHeight="true" outlineLevel="0" collapsed="false">
      <c r="A57" s="13" t="s">
        <v>1101</v>
      </c>
      <c r="B57" s="13" t="s">
        <v>1102</v>
      </c>
      <c r="C57" s="13" t="n">
        <v>0.05</v>
      </c>
      <c r="D57" s="13" t="n">
        <v>0.01</v>
      </c>
      <c r="E57" s="13" t="n">
        <v>0.1</v>
      </c>
      <c r="F57" s="13" t="s">
        <v>1103</v>
      </c>
    </row>
    <row r="58" customFormat="false" ht="15" hidden="false" customHeight="true" outlineLevel="0" collapsed="false">
      <c r="A58" s="14" t="s">
        <v>1104</v>
      </c>
      <c r="B58" s="14" t="s">
        <v>1105</v>
      </c>
      <c r="C58" s="14" t="n">
        <v>0.3</v>
      </c>
      <c r="D58" s="14" t="n">
        <v>0.1</v>
      </c>
      <c r="E58" s="14" t="n">
        <v>0.5</v>
      </c>
      <c r="F58" s="14" t="s">
        <v>1106</v>
      </c>
    </row>
    <row r="61" customFormat="false" ht="27.75" hidden="false" customHeight="true" outlineLevel="0" collapsed="false">
      <c r="A61" s="5" t="s">
        <v>1107</v>
      </c>
    </row>
    <row r="62" customFormat="false" ht="15" hidden="false" customHeight="true" outlineLevel="0" collapsed="false">
      <c r="A62" s="6" t="s">
        <v>893</v>
      </c>
      <c r="B62" s="6" t="s">
        <v>942</v>
      </c>
      <c r="C62" s="6" t="s">
        <v>812</v>
      </c>
      <c r="D62" s="6" t="s">
        <v>61</v>
      </c>
      <c r="E62" s="6" t="s">
        <v>215</v>
      </c>
    </row>
    <row r="63" customFormat="false" ht="15" hidden="false" customHeight="true" outlineLevel="0" collapsed="false">
      <c r="A63" s="13" t="s">
        <v>992</v>
      </c>
      <c r="B63" s="13" t="s">
        <v>1108</v>
      </c>
      <c r="C63" s="13" t="s">
        <v>1109</v>
      </c>
      <c r="D63" s="13" t="s">
        <v>113</v>
      </c>
      <c r="E63" s="13" t="s">
        <v>1110</v>
      </c>
    </row>
    <row r="64" customFormat="false" ht="15" hidden="false" customHeight="true" outlineLevel="0" collapsed="false">
      <c r="A64" s="14" t="s">
        <v>999</v>
      </c>
      <c r="B64" s="14" t="s">
        <v>1111</v>
      </c>
      <c r="C64" s="14" t="s">
        <v>1112</v>
      </c>
      <c r="D64" s="14" t="s">
        <v>113</v>
      </c>
      <c r="E64" s="14" t="s">
        <v>1110</v>
      </c>
    </row>
    <row r="65" customFormat="false" ht="15" hidden="false" customHeight="true" outlineLevel="0" collapsed="false">
      <c r="A65" s="13" t="s">
        <v>1008</v>
      </c>
      <c r="B65" s="13" t="s">
        <v>1113</v>
      </c>
      <c r="C65" s="13" t="s">
        <v>1114</v>
      </c>
      <c r="D65" s="13" t="s">
        <v>113</v>
      </c>
      <c r="E65" s="13" t="s">
        <v>1110</v>
      </c>
    </row>
    <row r="66" customFormat="false" ht="15" hidden="false" customHeight="true" outlineLevel="0" collapsed="false">
      <c r="A66" s="14" t="s">
        <v>1017</v>
      </c>
      <c r="B66" s="14" t="s">
        <v>291</v>
      </c>
      <c r="C66" s="14" t="s">
        <v>1109</v>
      </c>
      <c r="D66" s="14" t="s">
        <v>113</v>
      </c>
      <c r="E66" s="14" t="s">
        <v>1110</v>
      </c>
    </row>
    <row r="67" customFormat="false" ht="15" hidden="false" customHeight="true" outlineLevel="0" collapsed="false">
      <c r="A67" s="13" t="s">
        <v>1024</v>
      </c>
      <c r="B67" s="13" t="s">
        <v>1115</v>
      </c>
      <c r="C67" s="13" t="s">
        <v>1116</v>
      </c>
      <c r="D67" s="13" t="s">
        <v>113</v>
      </c>
      <c r="E67" s="13" t="s">
        <v>1110</v>
      </c>
    </row>
    <row r="68" customFormat="false" ht="15" hidden="false" customHeight="true" outlineLevel="0" collapsed="false">
      <c r="A68" s="14" t="s">
        <v>945</v>
      </c>
      <c r="B68" s="14" t="s">
        <v>788</v>
      </c>
      <c r="C68" s="14" t="s">
        <v>1109</v>
      </c>
      <c r="D68" s="14" t="s">
        <v>113</v>
      </c>
      <c r="E68" s="14" t="s">
        <v>1110</v>
      </c>
    </row>
    <row r="69" customFormat="false" ht="15" hidden="false" customHeight="true" outlineLevel="0" collapsed="false">
      <c r="A69" s="13" t="s">
        <v>954</v>
      </c>
      <c r="B69" s="13" t="s">
        <v>1117</v>
      </c>
      <c r="C69" s="13" t="s">
        <v>1118</v>
      </c>
      <c r="D69" s="13" t="s">
        <v>113</v>
      </c>
      <c r="E69" s="13" t="s">
        <v>1110</v>
      </c>
    </row>
    <row r="70" customFormat="false" ht="15" hidden="false" customHeight="true" outlineLevel="0" collapsed="false">
      <c r="A70" s="14" t="s">
        <v>951</v>
      </c>
      <c r="B70" s="14" t="s">
        <v>1070</v>
      </c>
      <c r="C70" s="14" t="s">
        <v>1119</v>
      </c>
      <c r="D70" s="14" t="s">
        <v>113</v>
      </c>
      <c r="E70" s="14" t="s">
        <v>1110</v>
      </c>
    </row>
    <row r="71" customFormat="false" ht="15" hidden="false" customHeight="true" outlineLevel="0" collapsed="false">
      <c r="A71" s="13" t="s">
        <v>949</v>
      </c>
      <c r="B71" s="13" t="s">
        <v>1120</v>
      </c>
      <c r="C71" s="13" t="s">
        <v>1109</v>
      </c>
      <c r="D71" s="13" t="s">
        <v>113</v>
      </c>
      <c r="E71" s="13" t="s">
        <v>1110</v>
      </c>
    </row>
    <row r="72" customFormat="false" ht="15" hidden="false" customHeight="true" outlineLevel="0" collapsed="false">
      <c r="A72" s="14" t="s">
        <v>44</v>
      </c>
      <c r="B72" s="14" t="s">
        <v>1121</v>
      </c>
      <c r="C72" s="14" t="s">
        <v>1112</v>
      </c>
      <c r="D72" s="14" t="s">
        <v>113</v>
      </c>
      <c r="E72" s="14" t="s">
        <v>1110</v>
      </c>
    </row>
    <row r="73" customFormat="false" ht="15" hidden="false" customHeight="true" outlineLevel="0" collapsed="false">
      <c r="A73" s="13" t="s">
        <v>1047</v>
      </c>
      <c r="B73" s="13" t="s">
        <v>1122</v>
      </c>
      <c r="C73" s="13" t="s">
        <v>1116</v>
      </c>
      <c r="D73" s="13" t="s">
        <v>113</v>
      </c>
      <c r="E73" s="13" t="s">
        <v>1110</v>
      </c>
    </row>
    <row r="74" customFormat="false" ht="15" hidden="false" customHeight="true" outlineLevel="0" collapsed="false">
      <c r="A74" s="14" t="s">
        <v>958</v>
      </c>
      <c r="B74" s="14" t="s">
        <v>1123</v>
      </c>
      <c r="C74" s="14" t="s">
        <v>1114</v>
      </c>
      <c r="D74" s="14" t="s">
        <v>113</v>
      </c>
      <c r="E74" s="14" t="s">
        <v>1110</v>
      </c>
    </row>
    <row r="75" customFormat="false" ht="15" hidden="false" customHeight="true" outlineLevel="0" collapsed="false">
      <c r="A75" s="13" t="s">
        <v>1124</v>
      </c>
      <c r="B75" s="13" t="s">
        <v>1125</v>
      </c>
      <c r="C75" s="13" t="s">
        <v>1109</v>
      </c>
      <c r="D75" s="13" t="s">
        <v>72</v>
      </c>
      <c r="E75" s="13" t="s">
        <v>1110</v>
      </c>
    </row>
    <row r="76" customFormat="false" ht="15" hidden="false" customHeight="true" outlineLevel="0" collapsed="false">
      <c r="A76" s="14" t="s">
        <v>1126</v>
      </c>
      <c r="B76" s="14" t="s">
        <v>1127</v>
      </c>
      <c r="C76" s="14" t="s">
        <v>1119</v>
      </c>
      <c r="D76" s="14" t="s">
        <v>77</v>
      </c>
      <c r="E76" s="14" t="s">
        <v>1110</v>
      </c>
    </row>
    <row r="77" customFormat="false" ht="15" hidden="false" customHeight="true" outlineLevel="0" collapsed="false">
      <c r="A77" s="13" t="s">
        <v>1128</v>
      </c>
      <c r="B77" s="13" t="s">
        <v>1065</v>
      </c>
      <c r="C77" s="13" t="s">
        <v>1118</v>
      </c>
      <c r="D77" s="13" t="s">
        <v>77</v>
      </c>
      <c r="E77" s="13" t="s">
        <v>1110</v>
      </c>
    </row>
    <row r="78" customFormat="false" ht="23.25" hidden="false" customHeight="true" outlineLevel="0" collapsed="false">
      <c r="A78" s="14" t="s">
        <v>1129</v>
      </c>
      <c r="B78" s="14" t="s">
        <v>956</v>
      </c>
      <c r="C78" s="14" t="s">
        <v>1130</v>
      </c>
      <c r="D78" s="14" t="s">
        <v>77</v>
      </c>
      <c r="E78" s="14" t="s">
        <v>1110</v>
      </c>
    </row>
    <row r="79" customFormat="false" ht="15" hidden="false" customHeight="true" outlineLevel="0" collapsed="false">
      <c r="A79" s="13" t="s">
        <v>1131</v>
      </c>
      <c r="B79" s="13" t="s">
        <v>962</v>
      </c>
      <c r="C79" s="13" t="s">
        <v>1114</v>
      </c>
      <c r="D79" s="13" t="s">
        <v>82</v>
      </c>
      <c r="E79" s="13" t="s">
        <v>594</v>
      </c>
    </row>
    <row r="80" customFormat="false" ht="15" hidden="false" customHeight="true" outlineLevel="0" collapsed="false">
      <c r="A80" s="14" t="s">
        <v>1132</v>
      </c>
      <c r="B80" s="14" t="s">
        <v>38</v>
      </c>
      <c r="C80" s="14" t="s">
        <v>1133</v>
      </c>
      <c r="D80" s="14" t="s">
        <v>82</v>
      </c>
      <c r="E80" s="14" t="s">
        <v>594</v>
      </c>
    </row>
    <row r="81" customFormat="false" ht="15" hidden="false" customHeight="true" outlineLevel="0" collapsed="false">
      <c r="A81" s="13" t="s">
        <v>1134</v>
      </c>
      <c r="B81" s="13" t="s">
        <v>1135</v>
      </c>
      <c r="C81" s="13" t="s">
        <v>1119</v>
      </c>
      <c r="D81" s="13" t="s">
        <v>82</v>
      </c>
      <c r="E81" s="13" t="s">
        <v>594</v>
      </c>
    </row>
    <row r="82" customFormat="false" ht="15" hidden="false" customHeight="true" outlineLevel="0" collapsed="false">
      <c r="A82" s="14" t="s">
        <v>1136</v>
      </c>
      <c r="B82" s="14" t="s">
        <v>1137</v>
      </c>
      <c r="C82" s="14" t="s">
        <v>1118</v>
      </c>
      <c r="D82" s="14" t="s">
        <v>82</v>
      </c>
      <c r="E82" s="14" t="s">
        <v>594</v>
      </c>
    </row>
    <row r="83" customFormat="false" ht="23.25" hidden="false" customHeight="true" outlineLevel="0" collapsed="false">
      <c r="A83" s="13" t="s">
        <v>813</v>
      </c>
      <c r="B83" s="13" t="s">
        <v>761</v>
      </c>
      <c r="C83" s="13" t="s">
        <v>817</v>
      </c>
      <c r="D83" s="13" t="s">
        <v>97</v>
      </c>
      <c r="E83" s="13" t="s">
        <v>1138</v>
      </c>
    </row>
    <row r="84" customFormat="false" ht="23.25" hidden="false" customHeight="true" outlineLevel="0" collapsed="false">
      <c r="A84" s="14" t="s">
        <v>59</v>
      </c>
      <c r="B84" s="14" t="s">
        <v>1139</v>
      </c>
      <c r="C84" s="14" t="s">
        <v>817</v>
      </c>
      <c r="D84" s="14" t="s">
        <v>97</v>
      </c>
      <c r="E84" s="14" t="s">
        <v>1138</v>
      </c>
    </row>
    <row r="85" customFormat="false" ht="23.25" hidden="false" customHeight="true" outlineLevel="0" collapsed="false">
      <c r="A85" s="13" t="s">
        <v>821</v>
      </c>
      <c r="B85" s="13" t="s">
        <v>1140</v>
      </c>
      <c r="C85" s="13" t="s">
        <v>825</v>
      </c>
      <c r="D85" s="13" t="s">
        <v>97</v>
      </c>
      <c r="E85" s="13" t="s">
        <v>1138</v>
      </c>
    </row>
    <row r="86" customFormat="false" ht="23.25" hidden="false" customHeight="true" outlineLevel="0" collapsed="false">
      <c r="A86" s="14" t="s">
        <v>826</v>
      </c>
      <c r="B86" s="14" t="s">
        <v>1141</v>
      </c>
      <c r="C86" s="14" t="s">
        <v>830</v>
      </c>
      <c r="D86" s="14" t="s">
        <v>97</v>
      </c>
      <c r="E86" s="14" t="s">
        <v>1138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6"/>
    <col collapsed="false" customWidth="true" hidden="false" outlineLevel="0" max="3" min="3" style="1" width="28"/>
    <col collapsed="false" customWidth="true" hidden="false" outlineLevel="0" max="4" min="4" style="1" width="22"/>
    <col collapsed="false" customWidth="true" hidden="false" outlineLevel="0" max="7" min="5" style="1" width="18"/>
  </cols>
  <sheetData>
    <row r="1" customFormat="false" ht="52.5" hidden="false" customHeight="true" outlineLevel="0" collapsed="false">
      <c r="A1" s="37" t="s">
        <v>1142</v>
      </c>
    </row>
    <row r="2" customFormat="false" ht="32.25" hidden="false" customHeight="true" outlineLevel="0" collapsed="false">
      <c r="A2" s="3" t="s">
        <v>1143</v>
      </c>
    </row>
    <row r="3" customFormat="false" ht="30" hidden="false" customHeight="true" outlineLevel="0" collapsed="false">
      <c r="A3" s="4" t="s">
        <v>213</v>
      </c>
    </row>
    <row r="5" customFormat="false" ht="15" hidden="false" customHeight="true" outlineLevel="0" collapsed="false">
      <c r="A5" s="38" t="s">
        <v>1144</v>
      </c>
    </row>
    <row r="6" customFormat="false" ht="15" hidden="false" customHeight="true" outlineLevel="0" collapsed="false">
      <c r="A6" s="39" t="s">
        <v>4</v>
      </c>
      <c r="B6" s="39" t="s">
        <v>5</v>
      </c>
      <c r="C6" s="39" t="s">
        <v>6</v>
      </c>
      <c r="D6" s="39" t="s">
        <v>7</v>
      </c>
    </row>
    <row r="7" customFormat="false" ht="15" hidden="false" customHeight="true" outlineLevel="0" collapsed="false">
      <c r="A7" s="13" t="s">
        <v>1145</v>
      </c>
      <c r="B7" s="13" t="s">
        <v>632</v>
      </c>
      <c r="C7" s="13"/>
      <c r="D7" s="13" t="s">
        <v>1146</v>
      </c>
    </row>
    <row r="8" customFormat="false" ht="23.25" hidden="false" customHeight="true" outlineLevel="0" collapsed="false">
      <c r="A8" s="14" t="s">
        <v>1147</v>
      </c>
      <c r="B8" s="14" t="s">
        <v>1148</v>
      </c>
      <c r="C8" s="14"/>
      <c r="D8" s="14" t="s">
        <v>1149</v>
      </c>
    </row>
    <row r="9" customFormat="false" ht="15" hidden="false" customHeight="true" outlineLevel="0" collapsed="false">
      <c r="A9" s="13" t="s">
        <v>1150</v>
      </c>
      <c r="B9" s="13" t="s">
        <v>1151</v>
      </c>
      <c r="C9" s="13" t="s">
        <v>1152</v>
      </c>
      <c r="D9" s="13" t="s">
        <v>1153</v>
      </c>
    </row>
    <row r="10" customFormat="false" ht="15" hidden="false" customHeight="true" outlineLevel="0" collapsed="false">
      <c r="A10" s="14" t="s">
        <v>1154</v>
      </c>
      <c r="B10" s="14" t="n">
        <f aca="false">ROUND(28+'🧬 DNA Loop Engine'!B5/52,1)</f>
        <v>28</v>
      </c>
      <c r="C10" s="14" t="s">
        <v>1152</v>
      </c>
      <c r="D10" s="14" t="s">
        <v>1155</v>
      </c>
    </row>
    <row r="11" customFormat="false" ht="15" hidden="false" customHeight="true" outlineLevel="0" collapsed="false">
      <c r="A11" s="13" t="s">
        <v>1156</v>
      </c>
      <c r="B11" s="13" t="s">
        <v>1157</v>
      </c>
      <c r="C11" s="13"/>
      <c r="D11" s="13" t="s">
        <v>1158</v>
      </c>
    </row>
    <row r="12" customFormat="false" ht="15" hidden="false" customHeight="true" outlineLevel="0" collapsed="false">
      <c r="A12" s="14" t="s">
        <v>1159</v>
      </c>
      <c r="B12" s="14" t="s">
        <v>1160</v>
      </c>
      <c r="C12" s="14"/>
      <c r="D12" s="14" t="s">
        <v>1161</v>
      </c>
    </row>
    <row r="13" customFormat="false" ht="23.25" hidden="false" customHeight="true" outlineLevel="0" collapsed="false">
      <c r="A13" s="13" t="s">
        <v>1162</v>
      </c>
      <c r="B13" s="13" t="s">
        <v>1163</v>
      </c>
      <c r="C13" s="13"/>
      <c r="D13" s="13" t="s">
        <v>1164</v>
      </c>
    </row>
    <row r="14" customFormat="false" ht="23.25" hidden="false" customHeight="true" outlineLevel="0" collapsed="false">
      <c r="A14" s="14" t="s">
        <v>1165</v>
      </c>
      <c r="B14" s="14" t="s">
        <v>1166</v>
      </c>
      <c r="C14" s="14"/>
      <c r="D14" s="14" t="s">
        <v>1167</v>
      </c>
    </row>
    <row r="15" customFormat="false" ht="23.25" hidden="false" customHeight="true" outlineLevel="0" collapsed="false">
      <c r="A15" s="13" t="s">
        <v>1168</v>
      </c>
      <c r="B15" s="13" t="s">
        <v>1169</v>
      </c>
      <c r="C15" s="13"/>
      <c r="D15" s="13" t="s">
        <v>1170</v>
      </c>
    </row>
    <row r="16" customFormat="false" ht="15" hidden="false" customHeight="true" outlineLevel="0" collapsed="false">
      <c r="A16" s="14" t="s">
        <v>1171</v>
      </c>
      <c r="B16" s="14" t="s">
        <v>1172</v>
      </c>
      <c r="C16" s="14"/>
      <c r="D16" s="14" t="s">
        <v>1173</v>
      </c>
    </row>
    <row r="19" customFormat="false" ht="15" hidden="false" customHeight="true" outlineLevel="0" collapsed="false">
      <c r="A19" s="38" t="s">
        <v>1174</v>
      </c>
    </row>
    <row r="20" customFormat="false" ht="15" hidden="false" customHeight="true" outlineLevel="0" collapsed="false">
      <c r="A20" s="39" t="s">
        <v>4</v>
      </c>
      <c r="B20" s="39" t="s">
        <v>5</v>
      </c>
      <c r="C20" s="39" t="s">
        <v>6</v>
      </c>
      <c r="D20" s="39" t="s">
        <v>7</v>
      </c>
    </row>
    <row r="21" customFormat="false" ht="15" hidden="false" customHeight="true" outlineLevel="0" collapsed="false">
      <c r="A21" s="13" t="s">
        <v>1175</v>
      </c>
      <c r="B21" s="13" t="s">
        <v>1176</v>
      </c>
      <c r="C21" s="13" t="s">
        <v>23</v>
      </c>
      <c r="D21" s="13" t="s">
        <v>1177</v>
      </c>
    </row>
    <row r="22" customFormat="false" ht="15" hidden="false" customHeight="true" outlineLevel="0" collapsed="false">
      <c r="A22" s="14" t="s">
        <v>1178</v>
      </c>
      <c r="B22" s="14" t="s">
        <v>1179</v>
      </c>
      <c r="C22" s="14" t="s">
        <v>26</v>
      </c>
      <c r="D22" s="14" t="s">
        <v>1180</v>
      </c>
    </row>
    <row r="23" customFormat="false" ht="15" hidden="false" customHeight="true" outlineLevel="0" collapsed="false">
      <c r="A23" s="13" t="s">
        <v>1181</v>
      </c>
      <c r="B23" s="13" t="s">
        <v>1182</v>
      </c>
      <c r="C23" s="13" t="s">
        <v>29</v>
      </c>
      <c r="D23" s="13" t="s">
        <v>1183</v>
      </c>
    </row>
    <row r="24" customFormat="false" ht="15" hidden="false" customHeight="true" outlineLevel="0" collapsed="false">
      <c r="A24" s="14" t="s">
        <v>1184</v>
      </c>
      <c r="B24" s="14" t="s">
        <v>1185</v>
      </c>
      <c r="C24" s="14"/>
      <c r="D24" s="14" t="s">
        <v>1186</v>
      </c>
    </row>
    <row r="25" customFormat="false" ht="15" hidden="false" customHeight="true" outlineLevel="0" collapsed="false">
      <c r="A25" s="13" t="s">
        <v>1187</v>
      </c>
      <c r="B25" s="13" t="s">
        <v>1188</v>
      </c>
      <c r="C25" s="13"/>
      <c r="D25" s="13"/>
    </row>
    <row r="26" customFormat="false" ht="15" hidden="false" customHeight="true" outlineLevel="0" collapsed="false">
      <c r="A26" s="14" t="s">
        <v>1189</v>
      </c>
      <c r="B26" s="14" t="s">
        <v>1190</v>
      </c>
      <c r="C26" s="14"/>
      <c r="D26" s="14" t="s">
        <v>1191</v>
      </c>
    </row>
    <row r="27" customFormat="false" ht="15" hidden="false" customHeight="true" outlineLevel="0" collapsed="false">
      <c r="A27" s="13" t="s">
        <v>1192</v>
      </c>
      <c r="B27" s="13" t="s">
        <v>1193</v>
      </c>
      <c r="C27" s="13"/>
      <c r="D27" s="13"/>
    </row>
    <row r="28" customFormat="false" ht="15" hidden="false" customHeight="true" outlineLevel="0" collapsed="false">
      <c r="A28" s="14" t="s">
        <v>1194</v>
      </c>
      <c r="B28" s="14" t="s">
        <v>1195</v>
      </c>
      <c r="C28" s="14"/>
      <c r="D28" s="14" t="s">
        <v>1196</v>
      </c>
    </row>
    <row r="29" customFormat="false" ht="15" hidden="false" customHeight="true" outlineLevel="0" collapsed="false">
      <c r="A29" s="13" t="s">
        <v>1197</v>
      </c>
      <c r="B29" s="13" t="s">
        <v>1198</v>
      </c>
      <c r="C29" s="13" t="s">
        <v>1199</v>
      </c>
      <c r="D29" s="13" t="s">
        <v>1200</v>
      </c>
    </row>
    <row r="30" customFormat="false" ht="23.25" hidden="false" customHeight="true" outlineLevel="0" collapsed="false">
      <c r="A30" s="14" t="s">
        <v>1201</v>
      </c>
      <c r="B30" s="14" t="s">
        <v>1202</v>
      </c>
      <c r="C30" s="14"/>
      <c r="D30" s="14" t="s">
        <v>1203</v>
      </c>
    </row>
    <row r="33" customFormat="false" ht="15" hidden="false" customHeight="true" outlineLevel="0" collapsed="false">
      <c r="A33" s="38" t="s">
        <v>1204</v>
      </c>
    </row>
    <row r="34" customFormat="false" ht="15" hidden="false" customHeight="true" outlineLevel="0" collapsed="false">
      <c r="A34" s="39" t="s">
        <v>1205</v>
      </c>
      <c r="B34" s="39" t="s">
        <v>1206</v>
      </c>
      <c r="C34" s="39" t="s">
        <v>412</v>
      </c>
      <c r="D34" s="39" t="s">
        <v>1207</v>
      </c>
    </row>
    <row r="35" customFormat="false" ht="23.25" hidden="false" customHeight="true" outlineLevel="0" collapsed="false">
      <c r="A35" s="13" t="s">
        <v>1208</v>
      </c>
      <c r="B35" s="13" t="n">
        <v>0.92</v>
      </c>
      <c r="C35" s="13" t="s">
        <v>1209</v>
      </c>
      <c r="D35" s="13" t="s">
        <v>1210</v>
      </c>
    </row>
    <row r="36" customFormat="false" ht="23.25" hidden="false" customHeight="true" outlineLevel="0" collapsed="false">
      <c r="A36" s="14" t="s">
        <v>1211</v>
      </c>
      <c r="B36" s="14" t="n">
        <v>0.88</v>
      </c>
      <c r="C36" s="14" t="s">
        <v>1212</v>
      </c>
      <c r="D36" s="14" t="s">
        <v>1213</v>
      </c>
    </row>
    <row r="37" customFormat="false" ht="23.25" hidden="false" customHeight="true" outlineLevel="0" collapsed="false">
      <c r="A37" s="13" t="s">
        <v>1214</v>
      </c>
      <c r="B37" s="13" t="n">
        <v>0.91</v>
      </c>
      <c r="C37" s="13" t="s">
        <v>1215</v>
      </c>
      <c r="D37" s="13" t="s">
        <v>1216</v>
      </c>
    </row>
    <row r="38" customFormat="false" ht="23.25" hidden="false" customHeight="true" outlineLevel="0" collapsed="false">
      <c r="A38" s="14" t="s">
        <v>1217</v>
      </c>
      <c r="B38" s="14" t="n">
        <v>0.85</v>
      </c>
      <c r="C38" s="14" t="s">
        <v>1218</v>
      </c>
      <c r="D38" s="14" t="s">
        <v>1219</v>
      </c>
    </row>
    <row r="39" customFormat="false" ht="23.25" hidden="false" customHeight="true" outlineLevel="0" collapsed="false">
      <c r="A39" s="13" t="s">
        <v>1220</v>
      </c>
      <c r="B39" s="13" t="n">
        <v>0.9</v>
      </c>
      <c r="C39" s="13" t="s">
        <v>1221</v>
      </c>
      <c r="D39" s="13" t="s">
        <v>1222</v>
      </c>
    </row>
    <row r="40" customFormat="false" ht="23.25" hidden="false" customHeight="true" outlineLevel="0" collapsed="false">
      <c r="A40" s="14" t="s">
        <v>1223</v>
      </c>
      <c r="B40" s="14" t="n">
        <v>0.82</v>
      </c>
      <c r="C40" s="14" t="s">
        <v>1224</v>
      </c>
      <c r="D40" s="14" t="s">
        <v>1225</v>
      </c>
    </row>
    <row r="41" customFormat="false" ht="23.25" hidden="false" customHeight="true" outlineLevel="0" collapsed="false">
      <c r="A41" s="13" t="s">
        <v>1226</v>
      </c>
      <c r="B41" s="13" t="n">
        <v>0.88</v>
      </c>
      <c r="C41" s="13" t="s">
        <v>1227</v>
      </c>
      <c r="D41" s="13" t="s">
        <v>1228</v>
      </c>
    </row>
    <row r="42" customFormat="false" ht="23.25" hidden="false" customHeight="true" outlineLevel="0" collapsed="false">
      <c r="A42" s="14" t="s">
        <v>1229</v>
      </c>
      <c r="B42" s="14" t="n">
        <v>0.35</v>
      </c>
      <c r="C42" s="14" t="s">
        <v>1230</v>
      </c>
      <c r="D42" s="14" t="s">
        <v>1231</v>
      </c>
    </row>
    <row r="43" customFormat="false" ht="23.25" hidden="false" customHeight="true" outlineLevel="0" collapsed="false">
      <c r="A43" s="13" t="s">
        <v>1232</v>
      </c>
      <c r="B43" s="13" t="n">
        <v>0.85</v>
      </c>
      <c r="C43" s="13" t="s">
        <v>1233</v>
      </c>
      <c r="D43" s="13" t="s">
        <v>1234</v>
      </c>
    </row>
    <row r="44" customFormat="false" ht="23.25" hidden="false" customHeight="true" outlineLevel="0" collapsed="false">
      <c r="A44" s="14" t="s">
        <v>1235</v>
      </c>
      <c r="B44" s="14" t="n">
        <v>0.87</v>
      </c>
      <c r="C44" s="14" t="s">
        <v>1236</v>
      </c>
      <c r="D44" s="14" t="s">
        <v>1237</v>
      </c>
    </row>
    <row r="47" customFormat="false" ht="27.75" hidden="false" customHeight="true" outlineLevel="0" collapsed="false">
      <c r="A47" s="38" t="s">
        <v>1238</v>
      </c>
    </row>
    <row r="48" customFormat="false" ht="15" hidden="false" customHeight="true" outlineLevel="0" collapsed="false">
      <c r="A48" s="39" t="s">
        <v>61</v>
      </c>
      <c r="B48" s="39" t="s">
        <v>1239</v>
      </c>
      <c r="C48" s="39" t="s">
        <v>1240</v>
      </c>
      <c r="D48" s="39" t="s">
        <v>1241</v>
      </c>
      <c r="E48" s="39" t="s">
        <v>1207</v>
      </c>
    </row>
    <row r="49" customFormat="false" ht="23.25" hidden="false" customHeight="true" outlineLevel="0" collapsed="false">
      <c r="A49" s="13" t="s">
        <v>67</v>
      </c>
      <c r="B49" s="13" t="s">
        <v>1242</v>
      </c>
      <c r="C49" s="13" t="s">
        <v>1243</v>
      </c>
      <c r="D49" s="13" t="s">
        <v>1244</v>
      </c>
      <c r="E49" s="13" t="s">
        <v>1245</v>
      </c>
    </row>
    <row r="50" customFormat="false" ht="23.25" hidden="false" customHeight="true" outlineLevel="0" collapsed="false">
      <c r="A50" s="14" t="s">
        <v>67</v>
      </c>
      <c r="B50" s="14" t="s">
        <v>1246</v>
      </c>
      <c r="C50" s="14" t="s">
        <v>1247</v>
      </c>
      <c r="D50" s="14" t="s">
        <v>1248</v>
      </c>
      <c r="E50" s="14" t="s">
        <v>1249</v>
      </c>
    </row>
    <row r="51" customFormat="false" ht="34.5" hidden="false" customHeight="true" outlineLevel="0" collapsed="false">
      <c r="A51" s="13" t="s">
        <v>72</v>
      </c>
      <c r="B51" s="13" t="s">
        <v>1250</v>
      </c>
      <c r="C51" s="13" t="s">
        <v>1251</v>
      </c>
      <c r="D51" s="13" t="s">
        <v>1252</v>
      </c>
      <c r="E51" s="13" t="s">
        <v>1253</v>
      </c>
    </row>
    <row r="52" customFormat="false" ht="23.25" hidden="false" customHeight="true" outlineLevel="0" collapsed="false">
      <c r="A52" s="14" t="s">
        <v>77</v>
      </c>
      <c r="B52" s="14" t="s">
        <v>1254</v>
      </c>
      <c r="C52" s="14" t="s">
        <v>1255</v>
      </c>
      <c r="D52" s="14" t="s">
        <v>1256</v>
      </c>
      <c r="E52" s="14" t="s">
        <v>1257</v>
      </c>
    </row>
    <row r="53" customFormat="false" ht="23.25" hidden="false" customHeight="true" outlineLevel="0" collapsed="false">
      <c r="A53" s="13" t="s">
        <v>82</v>
      </c>
      <c r="B53" s="13" t="s">
        <v>1258</v>
      </c>
      <c r="C53" s="13" t="s">
        <v>1259</v>
      </c>
      <c r="D53" s="13" t="s">
        <v>1260</v>
      </c>
      <c r="E53" s="13" t="s">
        <v>1261</v>
      </c>
    </row>
    <row r="54" customFormat="false" ht="23.25" hidden="false" customHeight="true" outlineLevel="0" collapsed="false">
      <c r="A54" s="14" t="s">
        <v>87</v>
      </c>
      <c r="B54" s="14" t="s">
        <v>1262</v>
      </c>
      <c r="C54" s="14" t="s">
        <v>1263</v>
      </c>
      <c r="D54" s="14" t="s">
        <v>1264</v>
      </c>
      <c r="E54" s="14" t="s">
        <v>1265</v>
      </c>
    </row>
    <row r="55" customFormat="false" ht="23.25" hidden="false" customHeight="true" outlineLevel="0" collapsed="false">
      <c r="A55" s="13" t="s">
        <v>92</v>
      </c>
      <c r="B55" s="13" t="s">
        <v>1266</v>
      </c>
      <c r="C55" s="13" t="s">
        <v>1267</v>
      </c>
      <c r="D55" s="13" t="s">
        <v>1268</v>
      </c>
      <c r="E55" s="13" t="s">
        <v>1269</v>
      </c>
    </row>
    <row r="56" customFormat="false" ht="34.5" hidden="false" customHeight="true" outlineLevel="0" collapsed="false">
      <c r="A56" s="14" t="s">
        <v>97</v>
      </c>
      <c r="B56" s="14" t="s">
        <v>1270</v>
      </c>
      <c r="C56" s="14" t="s">
        <v>1271</v>
      </c>
      <c r="D56" s="14" t="s">
        <v>1272</v>
      </c>
      <c r="E56" s="14" t="s">
        <v>1273</v>
      </c>
    </row>
    <row r="59" customFormat="false" ht="27.75" hidden="false" customHeight="true" outlineLevel="0" collapsed="false">
      <c r="A59" s="38" t="s">
        <v>1274</v>
      </c>
    </row>
    <row r="60" customFormat="false" ht="15" hidden="false" customHeight="true" outlineLevel="0" collapsed="false">
      <c r="A60" s="39" t="s">
        <v>4</v>
      </c>
      <c r="B60" s="39" t="s">
        <v>5</v>
      </c>
      <c r="C60" s="39" t="s">
        <v>410</v>
      </c>
      <c r="D60" s="39" t="s">
        <v>7</v>
      </c>
    </row>
    <row r="61" customFormat="false" ht="15" hidden="false" customHeight="true" outlineLevel="0" collapsed="false">
      <c r="A61" s="13" t="s">
        <v>1275</v>
      </c>
      <c r="B61" s="13" t="s">
        <v>631</v>
      </c>
      <c r="C61" s="13" t="s">
        <v>1276</v>
      </c>
      <c r="D61" s="13" t="s">
        <v>1277</v>
      </c>
    </row>
    <row r="62" customFormat="false" ht="23.25" hidden="false" customHeight="true" outlineLevel="0" collapsed="false">
      <c r="A62" s="14" t="s">
        <v>1278</v>
      </c>
      <c r="B62" s="14" t="s">
        <v>1279</v>
      </c>
      <c r="C62" s="14" t="s">
        <v>1280</v>
      </c>
      <c r="D62" s="14" t="s">
        <v>1281</v>
      </c>
    </row>
    <row r="63" customFormat="false" ht="23.25" hidden="false" customHeight="true" outlineLevel="0" collapsed="false">
      <c r="A63" s="13" t="s">
        <v>1282</v>
      </c>
      <c r="B63" s="13" t="s">
        <v>1283</v>
      </c>
      <c r="C63" s="13" t="s">
        <v>1284</v>
      </c>
      <c r="D63" s="13" t="s">
        <v>1285</v>
      </c>
    </row>
    <row r="64" customFormat="false" ht="23.25" hidden="false" customHeight="true" outlineLevel="0" collapsed="false">
      <c r="A64" s="14" t="s">
        <v>1286</v>
      </c>
      <c r="B64" s="14" t="s">
        <v>1287</v>
      </c>
      <c r="C64" s="14" t="s">
        <v>1284</v>
      </c>
      <c r="D64" s="14" t="s">
        <v>1288</v>
      </c>
    </row>
    <row r="65" customFormat="false" ht="15" hidden="false" customHeight="true" outlineLevel="0" collapsed="false">
      <c r="A65" s="13" t="s">
        <v>1289</v>
      </c>
      <c r="B65" s="13" t="s">
        <v>1290</v>
      </c>
      <c r="C65" s="13" t="s">
        <v>1291</v>
      </c>
      <c r="D65" s="13" t="s">
        <v>1292</v>
      </c>
    </row>
    <row r="66" customFormat="false" ht="15" hidden="false" customHeight="true" outlineLevel="0" collapsed="false">
      <c r="A66" s="14" t="s">
        <v>1293</v>
      </c>
      <c r="B66" s="14" t="s">
        <v>850</v>
      </c>
      <c r="C66" s="14" t="s">
        <v>1294</v>
      </c>
      <c r="D66" s="14" t="s">
        <v>1295</v>
      </c>
    </row>
    <row r="67" customFormat="false" ht="23.25" hidden="false" customHeight="true" outlineLevel="0" collapsed="false">
      <c r="A67" s="13" t="s">
        <v>1296</v>
      </c>
      <c r="B67" s="13" t="s">
        <v>1297</v>
      </c>
      <c r="C67" s="13" t="s">
        <v>1298</v>
      </c>
      <c r="D67" s="13" t="s">
        <v>1299</v>
      </c>
    </row>
    <row r="68" customFormat="false" ht="15" hidden="false" customHeight="true" outlineLevel="0" collapsed="false">
      <c r="A68" s="14" t="s">
        <v>1300</v>
      </c>
      <c r="B68" s="14" t="s">
        <v>1301</v>
      </c>
      <c r="C68" s="14" t="s">
        <v>1302</v>
      </c>
      <c r="D68" s="14" t="s">
        <v>1303</v>
      </c>
    </row>
    <row r="69" customFormat="false" ht="23.25" hidden="false" customHeight="true" outlineLevel="0" collapsed="false">
      <c r="A69" s="13" t="s">
        <v>1304</v>
      </c>
      <c r="B69" s="13" t="s">
        <v>1279</v>
      </c>
      <c r="C69" s="13" t="s">
        <v>1305</v>
      </c>
      <c r="D69" s="13" t="s">
        <v>1306</v>
      </c>
    </row>
    <row r="70" customFormat="false" ht="23.25" hidden="false" customHeight="true" outlineLevel="0" collapsed="false">
      <c r="A70" s="14" t="s">
        <v>1307</v>
      </c>
      <c r="B70" s="14" t="s">
        <v>1308</v>
      </c>
      <c r="C70" s="14" t="s">
        <v>1309</v>
      </c>
      <c r="D70" s="14" t="s">
        <v>1310</v>
      </c>
    </row>
    <row r="73" customFormat="false" ht="27.75" hidden="false" customHeight="true" outlineLevel="0" collapsed="false">
      <c r="A73" s="38" t="s">
        <v>1311</v>
      </c>
    </row>
    <row r="74" customFormat="false" ht="15" hidden="false" customHeight="true" outlineLevel="0" collapsed="false">
      <c r="A74" s="39" t="s">
        <v>1205</v>
      </c>
      <c r="B74" s="39" t="s">
        <v>1312</v>
      </c>
      <c r="C74" s="39" t="s">
        <v>1313</v>
      </c>
      <c r="D74" s="39" t="s">
        <v>1314</v>
      </c>
    </row>
    <row r="75" customFormat="false" ht="15" hidden="false" customHeight="true" outlineLevel="0" collapsed="false">
      <c r="A75" s="13" t="s">
        <v>1315</v>
      </c>
      <c r="B75" s="13" t="s">
        <v>1316</v>
      </c>
      <c r="C75" s="13" t="s">
        <v>1317</v>
      </c>
      <c r="D75" s="13" t="s">
        <v>1318</v>
      </c>
    </row>
    <row r="76" customFormat="false" ht="15" hidden="false" customHeight="true" outlineLevel="0" collapsed="false">
      <c r="A76" s="14" t="s">
        <v>1319</v>
      </c>
      <c r="B76" s="14" t="s">
        <v>1320</v>
      </c>
      <c r="C76" s="14" t="s">
        <v>1321</v>
      </c>
      <c r="D76" s="14" t="s">
        <v>1322</v>
      </c>
    </row>
    <row r="77" customFormat="false" ht="15" hidden="false" customHeight="true" outlineLevel="0" collapsed="false">
      <c r="A77" s="13" t="s">
        <v>1323</v>
      </c>
      <c r="B77" s="13" t="s">
        <v>1324</v>
      </c>
      <c r="C77" s="13" t="s">
        <v>1325</v>
      </c>
      <c r="D77" s="13" t="s">
        <v>1326</v>
      </c>
    </row>
    <row r="78" customFormat="false" ht="23.25" hidden="false" customHeight="true" outlineLevel="0" collapsed="false">
      <c r="A78" s="14" t="s">
        <v>1327</v>
      </c>
      <c r="B78" s="14" t="s">
        <v>1328</v>
      </c>
      <c r="C78" s="14" t="s">
        <v>1329</v>
      </c>
      <c r="D78" s="14" t="s">
        <v>1330</v>
      </c>
    </row>
    <row r="79" customFormat="false" ht="15" hidden="false" customHeight="true" outlineLevel="0" collapsed="false">
      <c r="A79" s="13" t="s">
        <v>1331</v>
      </c>
      <c r="B79" s="13" t="s">
        <v>1332</v>
      </c>
      <c r="C79" s="13" t="s">
        <v>1333</v>
      </c>
      <c r="D79" s="13" t="s">
        <v>1334</v>
      </c>
    </row>
    <row r="80" customFormat="false" ht="23.25" hidden="false" customHeight="true" outlineLevel="0" collapsed="false">
      <c r="A80" s="14" t="s">
        <v>1335</v>
      </c>
      <c r="B80" s="14" t="s">
        <v>1336</v>
      </c>
      <c r="C80" s="14" t="s">
        <v>1337</v>
      </c>
      <c r="D80" s="14" t="s">
        <v>1338</v>
      </c>
    </row>
    <row r="81" customFormat="false" ht="15" hidden="false" customHeight="true" outlineLevel="0" collapsed="false">
      <c r="A81" s="13" t="s">
        <v>1339</v>
      </c>
      <c r="B81" s="13" t="s">
        <v>1324</v>
      </c>
      <c r="C81" s="13" t="s">
        <v>1340</v>
      </c>
      <c r="D81" s="13" t="s">
        <v>1326</v>
      </c>
    </row>
    <row r="82" customFormat="false" ht="15" hidden="false" customHeight="true" outlineLevel="0" collapsed="false">
      <c r="A82" s="14" t="s">
        <v>1341</v>
      </c>
      <c r="B82" s="14" t="s">
        <v>1324</v>
      </c>
      <c r="C82" s="14" t="s">
        <v>1342</v>
      </c>
      <c r="D82" s="14" t="s">
        <v>1343</v>
      </c>
    </row>
    <row r="83" customFormat="false" ht="15" hidden="false" customHeight="true" outlineLevel="0" collapsed="false">
      <c r="A83" s="13" t="s">
        <v>1344</v>
      </c>
      <c r="B83" s="13" t="s">
        <v>1324</v>
      </c>
      <c r="C83" s="13" t="s">
        <v>1345</v>
      </c>
      <c r="D83" s="13" t="s">
        <v>1326</v>
      </c>
    </row>
    <row r="84" customFormat="false" ht="23.25" hidden="false" customHeight="true" outlineLevel="0" collapsed="false">
      <c r="A84" s="14" t="s">
        <v>1346</v>
      </c>
      <c r="B84" s="14" t="s">
        <v>1347</v>
      </c>
      <c r="C84" s="14" t="s">
        <v>1348</v>
      </c>
      <c r="D84" s="14" t="s">
        <v>1349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6"/>
    <col collapsed="false" customWidth="true" hidden="false" outlineLevel="0" max="3" min="3" style="1" width="28"/>
    <col collapsed="false" customWidth="true" hidden="false" outlineLevel="0" max="4" min="4" style="1" width="22"/>
    <col collapsed="false" customWidth="true" hidden="false" outlineLevel="0" max="7" min="5" style="1" width="18"/>
  </cols>
  <sheetData>
    <row r="1" customFormat="false" ht="35.25" hidden="false" customHeight="true" outlineLevel="0" collapsed="false">
      <c r="A1" s="2" t="s">
        <v>1350</v>
      </c>
    </row>
    <row r="2" customFormat="false" ht="32.25" hidden="false" customHeight="true" outlineLevel="0" collapsed="false">
      <c r="A2" s="3" t="s">
        <v>1351</v>
      </c>
    </row>
    <row r="3" customFormat="false" ht="30" hidden="false" customHeight="true" outlineLevel="0" collapsed="false">
      <c r="A3" s="4" t="s">
        <v>213</v>
      </c>
    </row>
    <row r="5" customFormat="false" ht="15" hidden="false" customHeight="true" outlineLevel="0" collapsed="false">
      <c r="A5" s="5" t="s">
        <v>1144</v>
      </c>
    </row>
    <row r="6" customFormat="false" ht="15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</row>
    <row r="7" customFormat="false" ht="23.25" hidden="false" customHeight="true" outlineLevel="0" collapsed="false">
      <c r="A7" s="13" t="s">
        <v>1145</v>
      </c>
      <c r="B7" s="13" t="s">
        <v>1352</v>
      </c>
      <c r="C7" s="13"/>
      <c r="D7" s="13" t="s">
        <v>1353</v>
      </c>
    </row>
    <row r="8" customFormat="false" ht="23.25" hidden="false" customHeight="true" outlineLevel="0" collapsed="false">
      <c r="A8" s="14" t="s">
        <v>1147</v>
      </c>
      <c r="B8" s="14" t="s">
        <v>1354</v>
      </c>
      <c r="C8" s="14"/>
      <c r="D8" s="14" t="s">
        <v>1355</v>
      </c>
    </row>
    <row r="9" customFormat="false" ht="15" hidden="false" customHeight="true" outlineLevel="0" collapsed="false">
      <c r="A9" s="13" t="s">
        <v>1150</v>
      </c>
      <c r="B9" s="13" t="s">
        <v>1356</v>
      </c>
      <c r="C9" s="13" t="s">
        <v>1152</v>
      </c>
      <c r="D9" s="13" t="s">
        <v>1153</v>
      </c>
    </row>
    <row r="10" customFormat="false" ht="15" hidden="false" customHeight="true" outlineLevel="0" collapsed="false">
      <c r="A10" s="14" t="s">
        <v>1154</v>
      </c>
      <c r="B10" s="14" t="n">
        <f aca="false">ROUND(31+'🧬 DNA Loop Engine'!B5/52,1)</f>
        <v>31</v>
      </c>
      <c r="C10" s="14" t="s">
        <v>1152</v>
      </c>
      <c r="D10" s="14" t="s">
        <v>1155</v>
      </c>
    </row>
    <row r="11" customFormat="false" ht="15" hidden="false" customHeight="true" outlineLevel="0" collapsed="false">
      <c r="A11" s="13" t="s">
        <v>1156</v>
      </c>
      <c r="B11" s="13" t="s">
        <v>1357</v>
      </c>
      <c r="C11" s="13"/>
      <c r="D11" s="13" t="s">
        <v>1358</v>
      </c>
    </row>
    <row r="12" customFormat="false" ht="15" hidden="false" customHeight="true" outlineLevel="0" collapsed="false">
      <c r="A12" s="14" t="s">
        <v>1159</v>
      </c>
      <c r="B12" s="14" t="s">
        <v>1160</v>
      </c>
      <c r="C12" s="14"/>
      <c r="D12" s="14" t="s">
        <v>1161</v>
      </c>
    </row>
    <row r="13" customFormat="false" ht="23.25" hidden="false" customHeight="true" outlineLevel="0" collapsed="false">
      <c r="A13" s="13" t="s">
        <v>1162</v>
      </c>
      <c r="B13" s="13" t="s">
        <v>1163</v>
      </c>
      <c r="C13" s="13"/>
      <c r="D13" s="13" t="s">
        <v>1164</v>
      </c>
    </row>
    <row r="14" customFormat="false" ht="23.25" hidden="false" customHeight="true" outlineLevel="0" collapsed="false">
      <c r="A14" s="14" t="s">
        <v>1165</v>
      </c>
      <c r="B14" s="14" t="s">
        <v>1359</v>
      </c>
      <c r="C14" s="14"/>
      <c r="D14" s="14" t="s">
        <v>1360</v>
      </c>
    </row>
    <row r="15" customFormat="false" ht="15" hidden="false" customHeight="true" outlineLevel="0" collapsed="false">
      <c r="A15" s="13" t="s">
        <v>1168</v>
      </c>
      <c r="B15" s="13" t="s">
        <v>1361</v>
      </c>
      <c r="C15" s="13"/>
      <c r="D15" s="13" t="s">
        <v>1362</v>
      </c>
    </row>
    <row r="16" customFormat="false" ht="15" hidden="false" customHeight="true" outlineLevel="0" collapsed="false">
      <c r="A16" s="14" t="s">
        <v>1171</v>
      </c>
      <c r="B16" s="14" t="s">
        <v>1363</v>
      </c>
      <c r="C16" s="14"/>
      <c r="D16" s="14" t="s">
        <v>1364</v>
      </c>
    </row>
    <row r="19" customFormat="false" ht="15" hidden="false" customHeight="true" outlineLevel="0" collapsed="false">
      <c r="A19" s="5" t="s">
        <v>1174</v>
      </c>
    </row>
    <row r="20" customFormat="false" ht="15" hidden="false" customHeight="true" outlineLevel="0" collapsed="false">
      <c r="A20" s="6" t="s">
        <v>4</v>
      </c>
      <c r="B20" s="6" t="s">
        <v>5</v>
      </c>
      <c r="C20" s="6" t="s">
        <v>6</v>
      </c>
      <c r="D20" s="6" t="s">
        <v>7</v>
      </c>
    </row>
    <row r="21" customFormat="false" ht="15" hidden="false" customHeight="true" outlineLevel="0" collapsed="false">
      <c r="A21" s="13" t="s">
        <v>1175</v>
      </c>
      <c r="B21" s="13" t="s">
        <v>1365</v>
      </c>
      <c r="C21" s="13" t="s">
        <v>23</v>
      </c>
      <c r="D21" s="13" t="s">
        <v>1177</v>
      </c>
    </row>
    <row r="22" customFormat="false" ht="15" hidden="false" customHeight="true" outlineLevel="0" collapsed="false">
      <c r="A22" s="14" t="s">
        <v>1178</v>
      </c>
      <c r="B22" s="14" t="s">
        <v>1366</v>
      </c>
      <c r="C22" s="14" t="s">
        <v>26</v>
      </c>
      <c r="D22" s="14" t="s">
        <v>1367</v>
      </c>
    </row>
    <row r="23" customFormat="false" ht="15" hidden="false" customHeight="true" outlineLevel="0" collapsed="false">
      <c r="A23" s="13" t="s">
        <v>1181</v>
      </c>
      <c r="B23" s="13" t="s">
        <v>1179</v>
      </c>
      <c r="C23" s="13" t="s">
        <v>29</v>
      </c>
      <c r="D23" s="13" t="s">
        <v>1368</v>
      </c>
    </row>
    <row r="24" customFormat="false" ht="15" hidden="false" customHeight="true" outlineLevel="0" collapsed="false">
      <c r="A24" s="14" t="s">
        <v>1184</v>
      </c>
      <c r="B24" s="14" t="s">
        <v>1369</v>
      </c>
      <c r="C24" s="14"/>
      <c r="D24" s="14" t="s">
        <v>1186</v>
      </c>
    </row>
    <row r="25" customFormat="false" ht="15" hidden="false" customHeight="true" outlineLevel="0" collapsed="false">
      <c r="A25" s="13" t="s">
        <v>1187</v>
      </c>
      <c r="B25" s="13" t="s">
        <v>1188</v>
      </c>
      <c r="C25" s="13"/>
      <c r="D25" s="13"/>
    </row>
    <row r="26" customFormat="false" ht="15" hidden="false" customHeight="true" outlineLevel="0" collapsed="false">
      <c r="A26" s="14" t="s">
        <v>1189</v>
      </c>
      <c r="B26" s="14" t="s">
        <v>1370</v>
      </c>
      <c r="C26" s="14"/>
      <c r="D26" s="14" t="s">
        <v>1371</v>
      </c>
    </row>
    <row r="27" customFormat="false" ht="15" hidden="false" customHeight="true" outlineLevel="0" collapsed="false">
      <c r="A27" s="13" t="s">
        <v>1192</v>
      </c>
      <c r="B27" s="13" t="s">
        <v>1193</v>
      </c>
      <c r="C27" s="13"/>
      <c r="D27" s="13"/>
    </row>
    <row r="28" customFormat="false" ht="15" hidden="false" customHeight="true" outlineLevel="0" collapsed="false">
      <c r="A28" s="14" t="s">
        <v>1194</v>
      </c>
      <c r="B28" s="14" t="s">
        <v>1324</v>
      </c>
      <c r="C28" s="14"/>
      <c r="D28" s="14" t="s">
        <v>1372</v>
      </c>
    </row>
    <row r="29" customFormat="false" ht="15" hidden="false" customHeight="true" outlineLevel="0" collapsed="false">
      <c r="A29" s="13" t="s">
        <v>1197</v>
      </c>
      <c r="B29" s="13" t="s">
        <v>1373</v>
      </c>
      <c r="C29" s="13" t="s">
        <v>1199</v>
      </c>
      <c r="D29" s="13" t="s">
        <v>1374</v>
      </c>
    </row>
    <row r="30" customFormat="false" ht="15" hidden="false" customHeight="true" outlineLevel="0" collapsed="false">
      <c r="A30" s="14" t="s">
        <v>1201</v>
      </c>
      <c r="B30" s="14" t="s">
        <v>1375</v>
      </c>
      <c r="C30" s="14"/>
      <c r="D30" s="14" t="s">
        <v>1376</v>
      </c>
    </row>
    <row r="33" customFormat="false" ht="15" hidden="false" customHeight="true" outlineLevel="0" collapsed="false">
      <c r="A33" s="5" t="s">
        <v>1204</v>
      </c>
    </row>
    <row r="34" customFormat="false" ht="15" hidden="false" customHeight="true" outlineLevel="0" collapsed="false">
      <c r="A34" s="6" t="s">
        <v>1205</v>
      </c>
      <c r="B34" s="6" t="s">
        <v>1206</v>
      </c>
      <c r="C34" s="6" t="s">
        <v>412</v>
      </c>
      <c r="D34" s="6" t="s">
        <v>1207</v>
      </c>
    </row>
    <row r="35" customFormat="false" ht="23.25" hidden="false" customHeight="true" outlineLevel="0" collapsed="false">
      <c r="A35" s="13" t="s">
        <v>1208</v>
      </c>
      <c r="B35" s="13" t="n">
        <v>0.78</v>
      </c>
      <c r="C35" s="13" t="s">
        <v>1377</v>
      </c>
      <c r="D35" s="13" t="s">
        <v>1378</v>
      </c>
    </row>
    <row r="36" customFormat="false" ht="23.25" hidden="false" customHeight="true" outlineLevel="0" collapsed="false">
      <c r="A36" s="14" t="s">
        <v>1211</v>
      </c>
      <c r="B36" s="14" t="n">
        <v>0.72</v>
      </c>
      <c r="C36" s="14" t="s">
        <v>1379</v>
      </c>
      <c r="D36" s="14" t="s">
        <v>1380</v>
      </c>
    </row>
    <row r="37" customFormat="false" ht="15" hidden="false" customHeight="true" outlineLevel="0" collapsed="false">
      <c r="A37" s="13" t="s">
        <v>1214</v>
      </c>
      <c r="B37" s="13" t="n">
        <v>0.8</v>
      </c>
      <c r="C37" s="13" t="s">
        <v>1381</v>
      </c>
      <c r="D37" s="13" t="s">
        <v>1382</v>
      </c>
    </row>
    <row r="38" customFormat="false" ht="23.25" hidden="false" customHeight="true" outlineLevel="0" collapsed="false">
      <c r="A38" s="14" t="s">
        <v>1217</v>
      </c>
      <c r="B38" s="14" t="n">
        <v>0.7</v>
      </c>
      <c r="C38" s="14" t="s">
        <v>1383</v>
      </c>
      <c r="D38" s="14" t="s">
        <v>1384</v>
      </c>
    </row>
    <row r="39" customFormat="false" ht="23.25" hidden="false" customHeight="true" outlineLevel="0" collapsed="false">
      <c r="A39" s="13" t="s">
        <v>1220</v>
      </c>
      <c r="B39" s="13" t="n">
        <v>0.75</v>
      </c>
      <c r="C39" s="13" t="s">
        <v>1385</v>
      </c>
      <c r="D39" s="13" t="s">
        <v>1386</v>
      </c>
    </row>
    <row r="40" customFormat="false" ht="23.25" hidden="false" customHeight="true" outlineLevel="0" collapsed="false">
      <c r="A40" s="14" t="s">
        <v>1223</v>
      </c>
      <c r="B40" s="14" t="n">
        <v>0.88</v>
      </c>
      <c r="C40" s="14" t="s">
        <v>1387</v>
      </c>
      <c r="D40" s="14" t="s">
        <v>1388</v>
      </c>
    </row>
    <row r="41" customFormat="false" ht="23.25" hidden="false" customHeight="true" outlineLevel="0" collapsed="false">
      <c r="A41" s="13" t="s">
        <v>1226</v>
      </c>
      <c r="B41" s="13" t="n">
        <v>0.82</v>
      </c>
      <c r="C41" s="13" t="s">
        <v>1389</v>
      </c>
      <c r="D41" s="13" t="s">
        <v>1390</v>
      </c>
    </row>
    <row r="42" customFormat="false" ht="23.25" hidden="false" customHeight="true" outlineLevel="0" collapsed="false">
      <c r="A42" s="14" t="s">
        <v>1229</v>
      </c>
      <c r="B42" s="14" t="n">
        <v>0.3</v>
      </c>
      <c r="C42" s="14" t="s">
        <v>1391</v>
      </c>
      <c r="D42" s="14" t="s">
        <v>1392</v>
      </c>
    </row>
    <row r="43" customFormat="false" ht="23.25" hidden="false" customHeight="true" outlineLevel="0" collapsed="false">
      <c r="A43" s="13" t="s">
        <v>1232</v>
      </c>
      <c r="B43" s="13" t="n">
        <v>0.88</v>
      </c>
      <c r="C43" s="13" t="s">
        <v>1393</v>
      </c>
      <c r="D43" s="13" t="s">
        <v>1394</v>
      </c>
    </row>
    <row r="44" customFormat="false" ht="23.25" hidden="false" customHeight="true" outlineLevel="0" collapsed="false">
      <c r="A44" s="14" t="s">
        <v>1235</v>
      </c>
      <c r="B44" s="14" t="n">
        <v>0.9</v>
      </c>
      <c r="C44" s="14" t="s">
        <v>1395</v>
      </c>
      <c r="D44" s="14" t="s">
        <v>1396</v>
      </c>
    </row>
    <row r="47" customFormat="false" ht="27.75" hidden="false" customHeight="true" outlineLevel="0" collapsed="false">
      <c r="A47" s="5" t="s">
        <v>1397</v>
      </c>
    </row>
    <row r="48" customFormat="false" ht="15" hidden="false" customHeight="true" outlineLevel="0" collapsed="false">
      <c r="A48" s="6" t="s">
        <v>61</v>
      </c>
      <c r="B48" s="6" t="s">
        <v>1239</v>
      </c>
      <c r="C48" s="6" t="s">
        <v>1398</v>
      </c>
      <c r="D48" s="6" t="s">
        <v>1241</v>
      </c>
      <c r="E48" s="6" t="s">
        <v>1207</v>
      </c>
    </row>
    <row r="49" customFormat="false" ht="23.25" hidden="false" customHeight="true" outlineLevel="0" collapsed="false">
      <c r="A49" s="13" t="s">
        <v>67</v>
      </c>
      <c r="B49" s="13" t="s">
        <v>1242</v>
      </c>
      <c r="C49" s="13" t="s">
        <v>1399</v>
      </c>
      <c r="D49" s="13" t="s">
        <v>1400</v>
      </c>
      <c r="E49" s="13" t="s">
        <v>1401</v>
      </c>
    </row>
    <row r="50" customFormat="false" ht="23.25" hidden="false" customHeight="true" outlineLevel="0" collapsed="false">
      <c r="A50" s="14" t="s">
        <v>67</v>
      </c>
      <c r="B50" s="14" t="s">
        <v>1246</v>
      </c>
      <c r="C50" s="14" t="s">
        <v>1402</v>
      </c>
      <c r="D50" s="14" t="s">
        <v>1403</v>
      </c>
      <c r="E50" s="14" t="s">
        <v>1404</v>
      </c>
    </row>
    <row r="51" customFormat="false" ht="23.25" hidden="false" customHeight="true" outlineLevel="0" collapsed="false">
      <c r="A51" s="13" t="s">
        <v>72</v>
      </c>
      <c r="B51" s="13" t="s">
        <v>1250</v>
      </c>
      <c r="C51" s="13" t="s">
        <v>1405</v>
      </c>
      <c r="D51" s="13" t="s">
        <v>1406</v>
      </c>
      <c r="E51" s="13" t="s">
        <v>1407</v>
      </c>
    </row>
    <row r="52" customFormat="false" ht="23.25" hidden="false" customHeight="true" outlineLevel="0" collapsed="false">
      <c r="A52" s="14" t="s">
        <v>77</v>
      </c>
      <c r="B52" s="14" t="s">
        <v>1254</v>
      </c>
      <c r="C52" s="14" t="s">
        <v>1408</v>
      </c>
      <c r="D52" s="14" t="s">
        <v>1409</v>
      </c>
      <c r="E52" s="14" t="s">
        <v>1410</v>
      </c>
    </row>
    <row r="53" customFormat="false" ht="23.25" hidden="false" customHeight="true" outlineLevel="0" collapsed="false">
      <c r="A53" s="13" t="s">
        <v>82</v>
      </c>
      <c r="B53" s="13" t="s">
        <v>1258</v>
      </c>
      <c r="C53" s="13" t="s">
        <v>1411</v>
      </c>
      <c r="D53" s="13" t="s">
        <v>1412</v>
      </c>
      <c r="E53" s="13" t="s">
        <v>1413</v>
      </c>
    </row>
    <row r="54" customFormat="false" ht="23.25" hidden="false" customHeight="true" outlineLevel="0" collapsed="false">
      <c r="A54" s="14" t="s">
        <v>87</v>
      </c>
      <c r="B54" s="14" t="s">
        <v>1262</v>
      </c>
      <c r="C54" s="14" t="s">
        <v>1414</v>
      </c>
      <c r="D54" s="14" t="s">
        <v>1415</v>
      </c>
      <c r="E54" s="14" t="s">
        <v>1416</v>
      </c>
    </row>
    <row r="55" customFormat="false" ht="23.25" hidden="false" customHeight="true" outlineLevel="0" collapsed="false">
      <c r="A55" s="13" t="s">
        <v>92</v>
      </c>
      <c r="B55" s="13" t="s">
        <v>1266</v>
      </c>
      <c r="C55" s="13" t="s">
        <v>1417</v>
      </c>
      <c r="D55" s="13" t="s">
        <v>1418</v>
      </c>
      <c r="E55" s="13" t="s">
        <v>1419</v>
      </c>
    </row>
    <row r="56" customFormat="false" ht="23.25" hidden="false" customHeight="true" outlineLevel="0" collapsed="false">
      <c r="A56" s="14" t="s">
        <v>97</v>
      </c>
      <c r="B56" s="14" t="s">
        <v>1270</v>
      </c>
      <c r="C56" s="14" t="s">
        <v>1420</v>
      </c>
      <c r="D56" s="14" t="s">
        <v>1421</v>
      </c>
      <c r="E56" s="14" t="s">
        <v>1422</v>
      </c>
    </row>
    <row r="59" customFormat="false" ht="27.75" hidden="false" customHeight="true" outlineLevel="0" collapsed="false">
      <c r="A59" s="5" t="s">
        <v>1274</v>
      </c>
    </row>
    <row r="60" customFormat="false" ht="15" hidden="false" customHeight="true" outlineLevel="0" collapsed="false">
      <c r="A60" s="6" t="s">
        <v>4</v>
      </c>
      <c r="B60" s="6" t="s">
        <v>5</v>
      </c>
      <c r="C60" s="6" t="s">
        <v>410</v>
      </c>
      <c r="D60" s="6" t="s">
        <v>7</v>
      </c>
    </row>
    <row r="61" customFormat="false" ht="15" hidden="false" customHeight="true" outlineLevel="0" collapsed="false">
      <c r="A61" s="13" t="s">
        <v>1275</v>
      </c>
      <c r="B61" s="13" t="s">
        <v>1423</v>
      </c>
      <c r="C61" s="13" t="s">
        <v>1276</v>
      </c>
      <c r="D61" s="13" t="s">
        <v>1424</v>
      </c>
    </row>
    <row r="62" customFormat="false" ht="23.25" hidden="false" customHeight="true" outlineLevel="0" collapsed="false">
      <c r="A62" s="14" t="s">
        <v>1278</v>
      </c>
      <c r="B62" s="14" t="s">
        <v>1425</v>
      </c>
      <c r="C62" s="14" t="s">
        <v>1426</v>
      </c>
      <c r="D62" s="14" t="s">
        <v>1427</v>
      </c>
    </row>
    <row r="63" customFormat="false" ht="23.25" hidden="false" customHeight="true" outlineLevel="0" collapsed="false">
      <c r="A63" s="13" t="s">
        <v>1282</v>
      </c>
      <c r="B63" s="13" t="s">
        <v>1428</v>
      </c>
      <c r="C63" s="13" t="s">
        <v>1284</v>
      </c>
      <c r="D63" s="13" t="s">
        <v>1429</v>
      </c>
    </row>
    <row r="64" customFormat="false" ht="23.25" hidden="false" customHeight="true" outlineLevel="0" collapsed="false">
      <c r="A64" s="14" t="s">
        <v>1286</v>
      </c>
      <c r="B64" s="14" t="s">
        <v>1430</v>
      </c>
      <c r="C64" s="14" t="s">
        <v>1284</v>
      </c>
      <c r="D64" s="14" t="s">
        <v>1431</v>
      </c>
    </row>
    <row r="65" customFormat="false" ht="23.25" hidden="false" customHeight="true" outlineLevel="0" collapsed="false">
      <c r="A65" s="13" t="s">
        <v>1289</v>
      </c>
      <c r="B65" s="13" t="s">
        <v>1432</v>
      </c>
      <c r="C65" s="13" t="s">
        <v>1291</v>
      </c>
      <c r="D65" s="13" t="s">
        <v>1433</v>
      </c>
    </row>
    <row r="66" customFormat="false" ht="15" hidden="false" customHeight="true" outlineLevel="0" collapsed="false">
      <c r="A66" s="14" t="s">
        <v>1293</v>
      </c>
      <c r="B66" s="14" t="s">
        <v>1434</v>
      </c>
      <c r="C66" s="14" t="s">
        <v>1435</v>
      </c>
      <c r="D66" s="14" t="s">
        <v>1436</v>
      </c>
    </row>
    <row r="67" customFormat="false" ht="23.25" hidden="false" customHeight="true" outlineLevel="0" collapsed="false">
      <c r="A67" s="13" t="s">
        <v>1296</v>
      </c>
      <c r="B67" s="13" t="s">
        <v>1324</v>
      </c>
      <c r="C67" s="13" t="s">
        <v>1298</v>
      </c>
      <c r="D67" s="13" t="s">
        <v>1437</v>
      </c>
    </row>
    <row r="68" customFormat="false" ht="15" hidden="false" customHeight="true" outlineLevel="0" collapsed="false">
      <c r="A68" s="14" t="s">
        <v>1300</v>
      </c>
      <c r="B68" s="14" t="s">
        <v>1301</v>
      </c>
      <c r="C68" s="14" t="s">
        <v>1302</v>
      </c>
      <c r="D68" s="14" t="s">
        <v>1303</v>
      </c>
    </row>
    <row r="69" customFormat="false" ht="23.25" hidden="false" customHeight="true" outlineLevel="0" collapsed="false">
      <c r="A69" s="13" t="s">
        <v>1304</v>
      </c>
      <c r="B69" s="13" t="s">
        <v>1425</v>
      </c>
      <c r="C69" s="13" t="s">
        <v>1438</v>
      </c>
      <c r="D69" s="13" t="s">
        <v>1439</v>
      </c>
    </row>
    <row r="70" customFormat="false" ht="23.25" hidden="false" customHeight="true" outlineLevel="0" collapsed="false">
      <c r="A70" s="14" t="s">
        <v>1307</v>
      </c>
      <c r="B70" s="14" t="s">
        <v>1440</v>
      </c>
      <c r="C70" s="14" t="s">
        <v>1441</v>
      </c>
      <c r="D70" s="14" t="s">
        <v>1442</v>
      </c>
    </row>
    <row r="73" customFormat="false" ht="27.75" hidden="false" customHeight="true" outlineLevel="0" collapsed="false">
      <c r="A73" s="5" t="s">
        <v>1311</v>
      </c>
    </row>
    <row r="74" customFormat="false" ht="15" hidden="false" customHeight="true" outlineLevel="0" collapsed="false">
      <c r="A74" s="6" t="s">
        <v>1205</v>
      </c>
      <c r="B74" s="6" t="s">
        <v>1443</v>
      </c>
      <c r="C74" s="6" t="s">
        <v>1313</v>
      </c>
      <c r="D74" s="6" t="s">
        <v>1314</v>
      </c>
    </row>
    <row r="75" customFormat="false" ht="15" hidden="false" customHeight="true" outlineLevel="0" collapsed="false">
      <c r="A75" s="13" t="s">
        <v>1315</v>
      </c>
      <c r="B75" s="13" t="s">
        <v>1444</v>
      </c>
      <c r="C75" s="13" t="s">
        <v>1445</v>
      </c>
      <c r="D75" s="13" t="s">
        <v>1446</v>
      </c>
    </row>
    <row r="76" customFormat="false" ht="15" hidden="false" customHeight="true" outlineLevel="0" collapsed="false">
      <c r="A76" s="14" t="s">
        <v>1319</v>
      </c>
      <c r="B76" s="14" t="s">
        <v>1447</v>
      </c>
      <c r="C76" s="14" t="s">
        <v>1448</v>
      </c>
      <c r="D76" s="14" t="s">
        <v>1322</v>
      </c>
    </row>
    <row r="77" customFormat="false" ht="23.25" hidden="false" customHeight="true" outlineLevel="0" collapsed="false">
      <c r="A77" s="13" t="s">
        <v>1449</v>
      </c>
      <c r="B77" s="13" t="s">
        <v>1320</v>
      </c>
      <c r="C77" s="13" t="s">
        <v>1450</v>
      </c>
      <c r="D77" s="13" t="s">
        <v>1326</v>
      </c>
    </row>
    <row r="78" customFormat="false" ht="23.25" hidden="false" customHeight="true" outlineLevel="0" collapsed="false">
      <c r="A78" s="14" t="s">
        <v>1331</v>
      </c>
      <c r="B78" s="14" t="s">
        <v>1451</v>
      </c>
      <c r="C78" s="14" t="s">
        <v>1452</v>
      </c>
      <c r="D78" s="14" t="s">
        <v>1334</v>
      </c>
    </row>
    <row r="79" customFormat="false" ht="15" hidden="false" customHeight="true" outlineLevel="0" collapsed="false">
      <c r="A79" s="13" t="s">
        <v>1341</v>
      </c>
      <c r="B79" s="13" t="s">
        <v>1453</v>
      </c>
      <c r="C79" s="13" t="s">
        <v>1454</v>
      </c>
      <c r="D79" s="13" t="s">
        <v>1326</v>
      </c>
    </row>
    <row r="80" customFormat="false" ht="15" hidden="false" customHeight="true" outlineLevel="0" collapsed="false">
      <c r="A80" s="14" t="s">
        <v>1455</v>
      </c>
      <c r="B80" s="14" t="s">
        <v>1324</v>
      </c>
      <c r="C80" s="14" t="s">
        <v>1456</v>
      </c>
      <c r="D80" s="14" t="s">
        <v>1326</v>
      </c>
    </row>
    <row r="81" customFormat="false" ht="15" hidden="false" customHeight="true" outlineLevel="0" collapsed="false">
      <c r="A81" s="13" t="s">
        <v>1457</v>
      </c>
      <c r="B81" s="13" t="s">
        <v>1453</v>
      </c>
      <c r="C81" s="13" t="s">
        <v>1458</v>
      </c>
      <c r="D81" s="13" t="s">
        <v>1326</v>
      </c>
    </row>
    <row r="82" customFormat="false" ht="15" hidden="false" customHeight="true" outlineLevel="0" collapsed="false">
      <c r="A82" s="14" t="s">
        <v>1344</v>
      </c>
      <c r="B82" s="14" t="s">
        <v>1324</v>
      </c>
      <c r="C82" s="14" t="s">
        <v>1345</v>
      </c>
      <c r="D82" s="14" t="s">
        <v>1326</v>
      </c>
    </row>
    <row r="83" customFormat="false" ht="15" hidden="false" customHeight="true" outlineLevel="0" collapsed="false">
      <c r="A83" s="13" t="s">
        <v>1459</v>
      </c>
      <c r="B83" s="13" t="s">
        <v>1460</v>
      </c>
      <c r="C83" s="13" t="s">
        <v>1461</v>
      </c>
      <c r="D83" s="13" t="s">
        <v>1334</v>
      </c>
    </row>
    <row r="84" customFormat="false" ht="15" hidden="false" customHeight="true" outlineLevel="0" collapsed="false">
      <c r="A84" s="14" t="s">
        <v>1346</v>
      </c>
      <c r="B84" s="14" t="s">
        <v>1324</v>
      </c>
      <c r="C84" s="14" t="s">
        <v>1462</v>
      </c>
      <c r="D84" s="14" t="s">
        <v>1322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2026-05-29T17:45:37Z</dcterms:created>
  <dc:creator>openpyxl</dc:creator>
  <dc:description/>
  <dc:language>en-US</dc:language>
  <cp:lastModifiedBy/>
  <dcterms:modified xsi:type="dcterms:W3CDTF">2026-05-29T17:49:04Z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